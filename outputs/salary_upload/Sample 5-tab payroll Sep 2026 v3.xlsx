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RPPL Salary-1" state="visible" r:id="rId4"/>
    <sheet sheetId="2" name="MRPPL Cash-1" state="visible" r:id="rId5"/>
    <sheet sheetId="3" name="MRPPL Diff Cash" state="visible" r:id="rId6"/>
    <sheet sheetId="4" name="Soorya Rubbers" state="visible" r:id="rId7"/>
    <sheet sheetId="5" name="Labour supply" state="visible" r:id="rId8"/>
  </sheets>
  <calcPr calcId="171027" fullCalcOnLoad="1"/>
</workbook>
</file>

<file path=xl/sharedStrings.xml><?xml version="1.0" encoding="utf-8"?>
<sst xmlns="http://schemas.openxmlformats.org/spreadsheetml/2006/main" count="847" uniqueCount="156">
  <si>
    <t>Employee Salary / Wages Register-SEPTEMBER 2026</t>
  </si>
  <si>
    <t>Company(s)</t>
  </si>
  <si>
    <t>Manna Rubber Products Pvt.Ltd</t>
  </si>
  <si>
    <t>Branch</t>
  </si>
  <si>
    <t>Perumbavoor, Kerala</t>
  </si>
  <si>
    <t>SEPTEMBER 2026 - Manna Rubber Products Pvt.Ltd - (FORM NO.25) - MUSTER ROLL</t>
  </si>
  <si>
    <t>Month</t>
  </si>
  <si>
    <t>Days in the month</t>
  </si>
  <si>
    <t>Days in the Month</t>
  </si>
  <si>
    <t>ATTENDANCE DETAILS</t>
  </si>
  <si>
    <t>OT &amp; BATA DATA</t>
  </si>
  <si>
    <t>SALARY / WAGES</t>
  </si>
  <si>
    <t>PF / ESI - CONTRIBUTION</t>
  </si>
  <si>
    <t>CASH ADVANCE &amp; LOAN DEDUCTION</t>
  </si>
  <si>
    <t>Mess</t>
  </si>
  <si>
    <t>NET PAYABLE AMOUNT AFTER FINAL DEDUCTION</t>
  </si>
  <si>
    <t>Srl#</t>
  </si>
  <si>
    <t>Name of branch that the employee currently working at</t>
  </si>
  <si>
    <t>Employee Code</t>
  </si>
  <si>
    <t>Employee Name</t>
  </si>
  <si>
    <t>Gender</t>
  </si>
  <si>
    <t>Name of the Father/Mother</t>
  </si>
  <si>
    <t>Date of Joining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</si>
  <si>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</si>
  <si>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</si>
  <si>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</si>
  <si>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</si>
  <si>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</si>
  <si>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</si>
  <si>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</si>
  <si>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</si>
  <si>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</si>
  <si>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</si>
  <si>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</si>
  <si>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</si>
  <si>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</si>
  <si>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</si>
  <si>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</si>
  <si>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</si>
  <si>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</si>
  <si>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</si>
  <si>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</si>
  <si>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</si>
  <si>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</si>
  <si>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</si>
  <si>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</si>
  <si>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</si>
  <si>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</si>
  <si>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</si>
  <si>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</si>
  <si>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</si>
  <si>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</si>
  <si>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</si>
  <si>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Tot.Days Worked</t>
  </si>
  <si>
    <t>Sundays</t>
  </si>
  <si>
    <t>Holiday</t>
  </si>
  <si>
    <t>Tot.Leave availed</t>
  </si>
  <si>
    <t>Tot.un-used CL's accumulated-B/F</t>
  </si>
  <si>
    <t>CL eligible for current month</t>
  </si>
  <si>
    <t>Tot.available CL's for current month</t>
  </si>
  <si>
    <t>Balance CL's C/F to next month</t>
  </si>
  <si>
    <t>No. of Days Eligible for Salary/Wage</t>
  </si>
  <si>
    <t>Loss Of Pay Days</t>
  </si>
  <si>
    <t>Total OT worked Hrs.</t>
  </si>
  <si>
    <t>OT Rate/Hr.</t>
  </si>
  <si>
    <t>Bata on OT(Drivers only)</t>
  </si>
  <si>
    <t>BATA Days(Drivers only)</t>
  </si>
  <si>
    <t>BATA Rate/Day</t>
  </si>
  <si>
    <t>OT Payable</t>
  </si>
  <si>
    <t>Bata Payable</t>
  </si>
  <si>
    <t>Type of Remuneration - Salary / Wages</t>
  </si>
  <si>
    <t>Daily Wages</t>
  </si>
  <si>
    <t>Minimum Pay Salary/Month OR Wages/Month</t>
  </si>
  <si>
    <t>Basic Salary</t>
  </si>
  <si>
    <t>D.A</t>
  </si>
  <si>
    <t>HRA</t>
  </si>
  <si>
    <t>Conveyance</t>
  </si>
  <si>
    <t>Other Allowance</t>
  </si>
  <si>
    <t>Loss Of Pay Amount</t>
  </si>
  <si>
    <t>Salary/Wage Due</t>
  </si>
  <si>
    <t>EPF Wages</t>
  </si>
  <si>
    <t>OT&amp;Bata Payable</t>
  </si>
  <si>
    <t>FOOD ALLOWANCE</t>
  </si>
  <si>
    <t>Actual Pay(Gross) Salary/Wages Eligible for the month</t>
  </si>
  <si>
    <t>EPF Membership</t>
  </si>
  <si>
    <t>EPF Paid by Govt.scheme</t>
  </si>
  <si>
    <t>ESI Member ship</t>
  </si>
  <si>
    <t>Insurance</t>
  </si>
  <si>
    <t>Total Paid Days</t>
  </si>
  <si>
    <t>PF Employee contribution Amount</t>
  </si>
  <si>
    <t>ESI Employee contribution  Amount</t>
  </si>
  <si>
    <t>PF Deduction roundup</t>
  </si>
  <si>
    <t>ESI Deduction roundup</t>
  </si>
  <si>
    <t>Total Earnings</t>
  </si>
  <si>
    <t>Cash Advance availed against Salary/Wages for the month</t>
  </si>
  <si>
    <t>Deduction of Cash Advance</t>
  </si>
  <si>
    <t>Outstanding Loan Amount</t>
  </si>
  <si>
    <t>Deduction of Loan amount</t>
  </si>
  <si>
    <t>Loan balance amount</t>
  </si>
  <si>
    <t>Covid19 Assitance Advance Amount</t>
  </si>
  <si>
    <t>Deduction against Covid19 Advance</t>
  </si>
  <si>
    <t>Covid19 Advance Balance Amount</t>
  </si>
  <si>
    <t>Contribution</t>
  </si>
  <si>
    <t>Professional Tax</t>
  </si>
  <si>
    <t>Lab.Welf.Fund Contribution</t>
  </si>
  <si>
    <t>Total Deductions</t>
  </si>
  <si>
    <t>Payable after deductions</t>
  </si>
  <si>
    <t>FOOD DEDUCTION</t>
  </si>
  <si>
    <t>Project Incentive&amp;House Rent</t>
  </si>
  <si>
    <t>Net Payable</t>
  </si>
  <si>
    <t>Net Payable After Round up</t>
  </si>
  <si>
    <t>Round Off</t>
  </si>
  <si>
    <t>Days in the month(DO NOT DELETE)</t>
  </si>
  <si>
    <t>MR001</t>
  </si>
  <si>
    <t>Anand Raghavan</t>
  </si>
  <si>
    <t>HOL</t>
  </si>
  <si>
    <t>SNDY</t>
  </si>
  <si>
    <t>L</t>
  </si>
  <si>
    <t>Salary</t>
  </si>
  <si>
    <t>No</t>
  </si>
  <si>
    <t>MR002</t>
  </si>
  <si>
    <t>Priya Menon</t>
  </si>
  <si>
    <t>MR003</t>
  </si>
  <si>
    <t>Rahul Nair</t>
  </si>
  <si>
    <t>MR004</t>
  </si>
  <si>
    <t>Sneha Thomas</t>
  </si>
  <si>
    <t>DO NOT DELETE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</si>
  <si>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</si>
  <si>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</si>
  <si>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</si>
  <si>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</si>
  <si>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</si>
  <si>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</si>
  <si>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</si>
  <si>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</si>
  <si>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</si>
  <si>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</si>
  <si>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</si>
  <si>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</si>
  <si>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PAYMENT SPLIT REVIEW</t>
  </si>
  <si>
    <t>Cash take-home by each person's salary structure (Salary Setup). Gross wages, PF, ESI and PT remain the full Salary Slip figures.</t>
  </si>
  <si>
    <t>Full net payable (₹)</t>
  </si>
  <si>
    <t>Bank transfer (₹)</t>
  </si>
  <si>
    <t>Cash take-home (₹)</t>
  </si>
  <si>
    <t>MR005</t>
  </si>
  <si>
    <t>Joseph Varghese</t>
  </si>
  <si>
    <t>Bank transfer cap (₹)</t>
  </si>
  <si>
    <t>Shows full net pay and the payment split. Gross wages, statutory deductions and ESI remain the full Salary Slip figures.</t>
  </si>
  <si>
    <t>Cash balance (₹)</t>
  </si>
  <si>
    <t>Transferred to Soorya Rubbers</t>
  </si>
  <si>
    <t>SEPTEMBER 2026 - Transferred to Soorya Rubbers - (FORM NO.25) - MUSTER ROLL</t>
  </si>
  <si>
    <t>Soorya Rubbers</t>
  </si>
  <si>
    <t>SR001</t>
  </si>
  <si>
    <t>Bindu Kurian</t>
  </si>
  <si>
    <t>LS001</t>
  </si>
  <si>
    <t>Suresh 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</si>
</sst>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d\-mmm\-yy"/>
    <numFmt numFmtId="165" formatCode="0.0"/>
    <numFmt numFmtId="166" formatCode="₹#,##0.00"/>
  </numFmts>
  <fonts count="17" x14ac:knownFonts="1">
    <font>
      <color theme="1"/>
      <family val="2"/>
      <scheme val="minor"/>
      <sz val="11"/>
      <name val="Calibri"/>
    </font>
    <font>
      <sz val="11"/>
      <name val="Calibri"/>
    </font>
    <font>
      <b/>
      <sz val="11"/>
      <name val="Arial Black"/>
    </font>
    <font>
      <b/>
      <sz val="11"/>
      <name val="Calibri"/>
    </font>
    <font>
      <sz val="11"/>
      <name val="Arial Black"/>
    </font>
    <font>
      <b/>
      <color rgb="FFFF0000"/>
      <sz val="16"/>
      <name val="Calibri"/>
    </font>
    <font>
      <b/>
      <sz val="10"/>
      <name val="Calibri"/>
    </font>
    <font>
      <b/>
      <color rgb="FF000000"/>
      <sz val="10"/>
      <name val="Calibri"/>
    </font>
    <font>
      <b/>
      <color rgb="FFFF0000"/>
      <sz val="10"/>
      <name val="Calibri"/>
    </font>
    <font>
      <b/>
      <sz val="8"/>
      <name val="Calibri"/>
    </font>
    <font>
      <color rgb="FF366092"/>
      <sz val="11"/>
      <name val="Calibri"/>
    </font>
    <font>
      <b/>
      <color rgb="FFFF0000"/>
      <sz val="11"/>
      <name val="Calibri"/>
    </font>
    <font>
      <color rgb="FF7F7F7F"/>
      <sz val="11"/>
      <name val="Calibri"/>
    </font>
    <font>
      <color rgb="FF000000"/>
      <sz val="11"/>
      <name val="Times New Roman"/>
    </font>
    <font>
      <color rgb="FFFF0000"/>
      <sz val="11"/>
      <name val="Calibri"/>
    </font>
    <font>
      <b/>
      <color rgb="FFFFFFFF"/>
      <sz val="11"/>
      <name val="Calibri"/>
    </font>
    <font>
      <color rgb="FF7F4125"/>
      <sz val="9"/>
      <name val="Calibri"/>
    </font>
  </fonts>
  <fills count="20">
    <fill>
      <patternFill patternType="none"/>
    </fill>
    <fill>
      <patternFill patternType="gray125"/>
    </fill>
    <fill>
      <patternFill patternType="solid">
        <fgColor rgb="FFC2D69B"/>
      </patternFill>
    </fill>
    <fill>
      <patternFill patternType="solid">
        <fgColor rgb="FFC3D69B"/>
      </patternFill>
    </fill>
    <fill>
      <patternFill patternType="solid">
        <fgColor rgb="FFFFFF00"/>
      </patternFill>
    </fill>
    <fill>
      <patternFill patternType="solid">
        <fgColor rgb="FFCCC0D9"/>
      </patternFill>
    </fill>
    <fill>
      <patternFill patternType="solid">
        <fgColor rgb="FFE5B8B7"/>
      </patternFill>
    </fill>
    <fill>
      <patternFill patternType="solid">
        <fgColor rgb="FFD6E3BC"/>
      </patternFill>
    </fill>
    <fill>
      <patternFill patternType="solid">
        <fgColor rgb="FFC4BD97"/>
      </patternFill>
    </fill>
    <fill>
      <patternFill patternType="solid">
        <fgColor rgb="FFB8CCE4"/>
      </patternFill>
    </fill>
    <fill>
      <patternFill patternType="solid">
        <fgColor rgb="FFB6DDE8"/>
      </patternFill>
    </fill>
    <fill>
      <patternFill patternType="solid">
        <fgColor rgb="FFFFFFFF"/>
      </patternFill>
    </fill>
    <fill>
      <patternFill patternType="solid">
        <fgColor rgb="FF00B050"/>
      </patternFill>
    </fill>
    <fill>
      <patternFill patternType="solid">
        <fgColor rgb="FF00B0F0"/>
      </patternFill>
    </fill>
    <fill>
      <patternFill patternType="solid">
        <fgColor rgb="FFFCD5B5"/>
      </patternFill>
    </fill>
    <fill>
      <patternFill patternType="solid">
        <fgColor rgb="FF92D050"/>
      </patternFill>
    </fill>
    <fill>
      <patternFill patternType="solid">
        <fgColor rgb="FFF2DBDB"/>
      </patternFill>
    </fill>
    <fill>
      <patternFill patternType="solid">
        <fgColor rgb="FF17365D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7" fontId="3" fillId="0" borderId="1" xfId="0" applyNumberFormat="1" applyFont="1" applyBorder="1" applyAlignment="1">
      <alignment horizontal="left" vertical="center"/>
    </xf>
    <xf numFmtId="17" fontId="3" fillId="0" borderId="1" xfId="0" applyNumberFormat="1" applyFont="1" applyBorder="1" applyAlignment="1">
      <alignment horizontal="right" vertical="center"/>
    </xf>
    <xf numFmtId="17" fontId="3" fillId="0" borderId="1" xfId="0" applyNumberFormat="1" applyFont="1" applyBorder="1" applyAlignme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3" fillId="5" borderId="6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3" fillId="7" borderId="7" xfId="0" applyFont="1" applyFill="1" applyBorder="1" applyAlignment="1">
      <alignment horizontal="center" vertical="center"/>
    </xf>
    <xf numFmtId="0" fontId="3" fillId="8" borderId="8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3" fillId="9" borderId="7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10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left" vertical="center" wrapText="1"/>
    </xf>
    <xf numFmtId="49" fontId="6" fillId="0" borderId="10" xfId="0" applyNumberFormat="1" applyFont="1" applyBorder="1" applyAlignment="1">
      <alignment horizontal="center" vertical="center" wrapText="1"/>
    </xf>
    <xf numFmtId="49" fontId="6" fillId="0" borderId="11" xfId="0" applyNumberFormat="1" applyFont="1" applyBorder="1" applyAlignment="1">
      <alignment horizontal="center" vertical="center" wrapText="1"/>
    </xf>
    <xf numFmtId="49" fontId="6" fillId="0" borderId="12" xfId="0" applyNumberFormat="1" applyFont="1" applyBorder="1" applyAlignment="1">
      <alignment horizontal="center" vertical="center" wrapText="1"/>
    </xf>
    <xf numFmtId="49" fontId="7" fillId="11" borderId="12" xfId="0" applyNumberFormat="1" applyFont="1" applyFill="1" applyBorder="1" applyAlignment="1">
      <alignment horizontal="center" vertical="center" wrapText="1"/>
    </xf>
    <xf numFmtId="49" fontId="6" fillId="0" borderId="13" xfId="0" applyNumberFormat="1" applyFont="1" applyBorder="1" applyAlignment="1">
      <alignment horizontal="center" vertical="center" wrapText="1"/>
    </xf>
    <xf numFmtId="0" fontId="6" fillId="5" borderId="14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5" borderId="15" xfId="0" applyFont="1" applyFill="1" applyBorder="1" applyAlignment="1">
      <alignment horizontal="center" vertical="center" wrapText="1"/>
    </xf>
    <xf numFmtId="0" fontId="6" fillId="6" borderId="16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6" borderId="17" xfId="0" applyFont="1" applyFill="1" applyBorder="1" applyAlignment="1">
      <alignment horizontal="center" vertical="center" wrapText="1"/>
    </xf>
    <xf numFmtId="0" fontId="6" fillId="7" borderId="18" xfId="0" applyFont="1" applyFill="1" applyBorder="1" applyAlignment="1">
      <alignment horizontal="center" vertical="center" wrapText="1"/>
    </xf>
    <xf numFmtId="0" fontId="6" fillId="7" borderId="19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7" borderId="20" xfId="0" applyFont="1" applyFill="1" applyBorder="1" applyAlignment="1">
      <alignment horizontal="center" vertical="center" wrapText="1"/>
    </xf>
    <xf numFmtId="0" fontId="6" fillId="7" borderId="21" xfId="0" applyFont="1" applyFill="1" applyBorder="1" applyAlignment="1">
      <alignment horizontal="center" vertical="center" wrapText="1"/>
    </xf>
    <xf numFmtId="0" fontId="6" fillId="7" borderId="15" xfId="0" applyFont="1" applyFill="1" applyBorder="1" applyAlignment="1">
      <alignment horizontal="center" vertical="center" wrapText="1"/>
    </xf>
    <xf numFmtId="0" fontId="6" fillId="8" borderId="22" xfId="0" applyFont="1" applyFill="1" applyBorder="1" applyAlignment="1">
      <alignment horizontal="center" vertical="center" wrapText="1"/>
    </xf>
    <xf numFmtId="0" fontId="6" fillId="8" borderId="14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8" borderId="23" xfId="0" applyFont="1" applyFill="1" applyBorder="1" applyAlignment="1">
      <alignment horizontal="center" vertical="center" wrapText="1"/>
    </xf>
    <xf numFmtId="0" fontId="6" fillId="9" borderId="16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6" fillId="9" borderId="24" xfId="0" applyFont="1" applyFill="1" applyBorder="1" applyAlignment="1">
      <alignment horizontal="center" vertical="center" wrapText="1"/>
    </xf>
    <xf numFmtId="0" fontId="6" fillId="9" borderId="25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6" fillId="12" borderId="15" xfId="0" applyFont="1" applyFill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6" fillId="10" borderId="22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6" fillId="10" borderId="15" xfId="0" applyFont="1" applyFill="1" applyBorder="1" applyAlignment="1">
      <alignment horizontal="center" vertical="center" wrapText="1"/>
    </xf>
    <xf numFmtId="0" fontId="6" fillId="10" borderId="15" xfId="0" applyFont="1" applyFill="1" applyBorder="1" applyAlignment="1">
      <alignment horizontal="center" vertical="center"/>
    </xf>
    <xf numFmtId="0" fontId="8" fillId="10" borderId="0" xfId="0" applyFont="1" applyFill="1" applyAlignment="1">
      <alignment horizontal="center" vertical="center" wrapText="1"/>
    </xf>
    <xf numFmtId="0" fontId="9" fillId="13" borderId="20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7" fillId="11" borderId="1" xfId="0" applyFont="1" applyFill="1" applyBorder="1" applyAlignment="1">
      <alignment horizontal="left" vertical="center"/>
    </xf>
    <xf numFmtId="0" fontId="1" fillId="0" borderId="1" xfId="0" applyFont="1" applyBorder="1" applyAlignment="1"/>
    <xf numFmtId="164" fontId="1" fillId="0" borderId="1" xfId="0" applyNumberFormat="1" applyFont="1" applyBorder="1" applyAlignment="1"/>
    <xf numFmtId="0" fontId="1" fillId="11" borderId="1" xfId="0" applyFont="1" applyFill="1" applyBorder="1" applyAlignment="1">
      <alignment horizontal="center"/>
    </xf>
    <xf numFmtId="0" fontId="1" fillId="14" borderId="1" xfId="0" applyFont="1" applyFill="1" applyBorder="1" applyAlignment="1">
      <alignment horizontal="center"/>
    </xf>
    <xf numFmtId="165" fontId="3" fillId="15" borderId="14" xfId="0" applyNumberFormat="1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165" fontId="1" fillId="15" borderId="1" xfId="0" applyNumberFormat="1" applyFont="1" applyFill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165" fontId="1" fillId="5" borderId="1" xfId="0" applyNumberFormat="1" applyFont="1" applyFill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165" fontId="1" fillId="0" borderId="20" xfId="0" applyNumberFormat="1" applyFont="1" applyBorder="1" applyAlignment="1">
      <alignment horizontal="center" vertical="center"/>
    </xf>
    <xf numFmtId="0" fontId="1" fillId="15" borderId="1" xfId="0" applyFont="1" applyFill="1" applyBorder="1" applyAlignment="1">
      <alignment horizontal="center"/>
    </xf>
    <xf numFmtId="2" fontId="10" fillId="6" borderId="14" xfId="0" applyNumberFormat="1" applyFont="1" applyFill="1" applyBorder="1" applyAlignment="1">
      <alignment horizontal="right" vertical="center"/>
    </xf>
    <xf numFmtId="2" fontId="1" fillId="0" borderId="1" xfId="0" applyNumberFormat="1" applyFont="1" applyBorder="1" applyAlignment="1">
      <alignment horizontal="right" vertical="center"/>
    </xf>
    <xf numFmtId="1" fontId="1" fillId="0" borderId="1" xfId="0" applyNumberFormat="1" applyFont="1" applyBorder="1" applyAlignment="1">
      <alignment horizontal="center" vertical="center"/>
    </xf>
    <xf numFmtId="4" fontId="1" fillId="6" borderId="1" xfId="0" applyNumberFormat="1" applyFont="1" applyFill="1" applyBorder="1" applyAlignment="1">
      <alignment horizontal="right" vertical="center"/>
    </xf>
    <xf numFmtId="4" fontId="1" fillId="7" borderId="21" xfId="0" applyNumberFormat="1" applyFont="1" applyFill="1" applyBorder="1" applyAlignment="1">
      <alignment horizontal="right" vertical="center"/>
    </xf>
    <xf numFmtId="4" fontId="1" fillId="7" borderId="1" xfId="0" applyNumberFormat="1" applyFont="1" applyFill="1" applyBorder="1" applyAlignment="1">
      <alignment horizontal="right" vertical="center"/>
    </xf>
    <xf numFmtId="4" fontId="11" fillId="0" borderId="14" xfId="0" applyNumberFormat="1" applyFont="1" applyBorder="1" applyAlignment="1">
      <alignment horizontal="right" vertical="center"/>
    </xf>
    <xf numFmtId="4" fontId="12" fillId="0" borderId="1" xfId="0" applyNumberFormat="1" applyFont="1" applyBorder="1" applyAlignment="1">
      <alignment horizontal="right" vertical="center"/>
    </xf>
    <xf numFmtId="4" fontId="1" fillId="7" borderId="20" xfId="0" applyNumberFormat="1" applyFont="1" applyFill="1" applyBorder="1" applyAlignment="1">
      <alignment horizontal="right" vertical="center"/>
    </xf>
    <xf numFmtId="4" fontId="1" fillId="7" borderId="23" xfId="0" applyNumberFormat="1" applyFont="1" applyFill="1" applyBorder="1" applyAlignment="1">
      <alignment horizontal="right" vertical="center"/>
    </xf>
    <xf numFmtId="4" fontId="1" fillId="11" borderId="1" xfId="0" applyNumberFormat="1" applyFont="1" applyFill="1" applyBorder="1" applyAlignment="1">
      <alignment horizontal="right" vertical="center"/>
    </xf>
    <xf numFmtId="4" fontId="1" fillId="7" borderId="26" xfId="0" applyNumberFormat="1" applyFont="1" applyFill="1" applyBorder="1" applyAlignment="1">
      <alignment horizontal="right" vertical="center"/>
    </xf>
    <xf numFmtId="4" fontId="1" fillId="0" borderId="22" xfId="0" applyNumberFormat="1" applyFont="1" applyBorder="1" applyAlignment="1">
      <alignment horizontal="right" vertical="center"/>
    </xf>
    <xf numFmtId="4" fontId="1" fillId="0" borderId="14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/>
    </xf>
    <xf numFmtId="4" fontId="1" fillId="0" borderId="10" xfId="0" applyNumberFormat="1" applyFont="1" applyBorder="1" applyAlignment="1">
      <alignment horizontal="right" vertical="center"/>
    </xf>
    <xf numFmtId="4" fontId="1" fillId="16" borderId="1" xfId="0" applyNumberFormat="1" applyFont="1" applyFill="1" applyBorder="1" applyAlignment="1">
      <alignment horizontal="right" vertical="center"/>
    </xf>
    <xf numFmtId="4" fontId="1" fillId="8" borderId="1" xfId="0" applyNumberFormat="1" applyFont="1" applyFill="1" applyBorder="1" applyAlignment="1">
      <alignment horizontal="right" vertical="center"/>
    </xf>
    <xf numFmtId="4" fontId="1" fillId="8" borderId="20" xfId="0" applyNumberFormat="1" applyFont="1" applyFill="1" applyBorder="1" applyAlignment="1">
      <alignment horizontal="right" vertical="center"/>
    </xf>
    <xf numFmtId="1" fontId="1" fillId="11" borderId="1" xfId="0" applyNumberFormat="1" applyFont="1" applyFill="1" applyBorder="1" applyAlignment="1"/>
    <xf numFmtId="4" fontId="1" fillId="9" borderId="1" xfId="0" applyNumberFormat="1" applyFont="1" applyFill="1" applyBorder="1" applyAlignment="1">
      <alignment horizontal="right" vertical="center"/>
    </xf>
    <xf numFmtId="4" fontId="1" fillId="0" borderId="0" xfId="0" applyNumberFormat="1" applyFont="1" applyAlignment="1">
      <alignment horizontal="right" vertical="center"/>
    </xf>
    <xf numFmtId="2" fontId="13" fillId="0" borderId="1" xfId="0" applyNumberFormat="1" applyFont="1" applyBorder="1" applyAlignment="1">
      <alignment horizontal="right" vertical="center"/>
    </xf>
    <xf numFmtId="4" fontId="1" fillId="10" borderId="22" xfId="0" applyNumberFormat="1" applyFont="1" applyFill="1" applyBorder="1" applyAlignment="1">
      <alignment horizontal="right" vertical="center"/>
    </xf>
    <xf numFmtId="4" fontId="1" fillId="10" borderId="1" xfId="0" applyNumberFormat="1" applyFont="1" applyFill="1" applyBorder="1" applyAlignment="1">
      <alignment horizontal="right" vertical="center"/>
    </xf>
    <xf numFmtId="4" fontId="3" fillId="10" borderId="1" xfId="0" applyNumberFormat="1" applyFont="1" applyFill="1" applyBorder="1" applyAlignment="1">
      <alignment horizontal="right" vertical="center"/>
    </xf>
    <xf numFmtId="0" fontId="1" fillId="0" borderId="0" xfId="0" applyFont="1" applyAlignment="1"/>
    <xf numFmtId="0" fontId="14" fillId="0" borderId="0" xfId="0" applyFont="1" applyAlignment="1"/>
    <xf numFmtId="0" fontId="14" fillId="0" borderId="1" xfId="0" applyFont="1" applyBorder="1" applyAlignment="1">
      <alignment horizontal="center" vertical="center"/>
    </xf>
    <xf numFmtId="0" fontId="15" fillId="17" borderId="0" xfId="0" applyFont="1" applyFill="1" applyAlignment="1">
      <alignment horizontal="center" vertical="center"/>
    </xf>
    <xf numFmtId="0" fontId="16" fillId="18" borderId="0" xfId="0" applyFont="1" applyFill="1" applyAlignment="1">
      <alignment vertical="center" wrapText="1"/>
    </xf>
    <xf numFmtId="166" fontId="0" fillId="0" borderId="27" xfId="0" applyNumberFormat="1" applyBorder="1" applyAlignment="1">
      <alignment horizontal="right" vertical="center"/>
    </xf>
    <xf numFmtId="166" fontId="6" fillId="4" borderId="0" xfId="0" applyNumberFormat="1" applyFont="1" applyFill="1"/>
    <xf numFmtId="0" fontId="0" fillId="19" borderId="0" xfId="0" applyFill="1"/>
    <xf numFmtId="166" fontId="0" fillId="19" borderId="0" xfId="0" applyNumberFormat="1" applyFill="1"/>
  </cellXfs>
  <cellStyles count="1">
    <cellStyle name="Normal" xfId="0" builtinId="0"/>
  </cellStyles>
  <dxfs count="10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T26"/>
  <sheetViews>
    <sheetView workbookViewId="0" zoomScale="100">
      <pane xSplit="7" ySplit="5" topLeftCell="H6" activePane="bottomRight" state="frozen"/>
      <selection pane="bottomRight"/>
    </sheetView>
  </sheetViews>
  <sheetFormatPr defaultRowHeight="15" outlineLevelRow="0" outlineLevelCol="0" x14ac:dyDescent="55"/>
  <cols>
    <col min="1" max="1" width="3.43" customWidth="1"/>
    <col min="2" max="2" width="10.86" customWidth="1"/>
    <col min="3" max="3" width="12.43" customWidth="1"/>
    <col min="4" max="4" width="20.57" customWidth="1"/>
    <col min="5" max="5" width="3.57" hidden="1" customWidth="1"/>
    <col min="6" max="6" width="4.86" hidden="1" customWidth="1"/>
    <col min="7" max="7" width="4.43" hidden="1" customWidth="1"/>
    <col min="8" max="37" width="5.43" customWidth="1"/>
    <col min="38" max="38" width="7.14" customWidth="1"/>
    <col min="39" max="40" width="4.43" customWidth="1"/>
    <col min="41" max="41" width="6.71" customWidth="1"/>
    <col min="42" max="42" width="5.43" customWidth="1"/>
    <col min="43" max="43" width="6.57" customWidth="1"/>
    <col min="44" max="44" width="5" customWidth="1"/>
    <col min="45" max="45" width="7.14" customWidth="1"/>
    <col min="46" max="46" width="8" customWidth="1"/>
    <col min="47" max="47" width="6.71" customWidth="1"/>
    <col min="48" max="48" width="8.71" customWidth="1"/>
    <col min="49" max="49" width="6.71" customWidth="1"/>
    <col min="50" max="50" width="8.43" customWidth="1"/>
    <col min="51" max="51" width="5.29" customWidth="1"/>
    <col min="52" max="52" width="8" customWidth="1"/>
    <col min="53" max="53" width="9.29" customWidth="1"/>
    <col min="54" max="54" width="10" customWidth="1"/>
    <col min="55" max="56" width="8" customWidth="1"/>
    <col min="57" max="57" width="11.43" customWidth="1"/>
    <col min="58" max="58" width="7.43" hidden="1" customWidth="1"/>
    <col min="59" max="59" width="7.86" hidden="1" customWidth="1"/>
    <col min="60" max="60" width="7.14" hidden="1" customWidth="1"/>
    <col min="61" max="61" width="2" hidden="1" customWidth="1"/>
    <col min="62" max="62" width="0.71" hidden="1" customWidth="1"/>
    <col min="63" max="63" width="11.71" customWidth="1"/>
    <col min="64" max="64" width="11.57" customWidth="1"/>
    <col min="65" max="65" width="10.29" customWidth="1"/>
    <col min="66" max="67" width="10.86" customWidth="1"/>
    <col min="68" max="68" width="12" customWidth="1"/>
    <col min="69" max="69" width="6.14" customWidth="1"/>
    <col min="70" max="73" width="8" customWidth="1"/>
    <col min="74" max="74" width="8.57" customWidth="1"/>
    <col min="75" max="77" width="8" customWidth="1"/>
    <col min="78" max="78" width="12.71" customWidth="1"/>
    <col min="79" max="79" width="12.29" customWidth="1"/>
    <col min="80" max="80" width="11.14" customWidth="1"/>
    <col min="81" max="83" width="10.29" customWidth="1"/>
    <col min="84" max="84" width="10" customWidth="1"/>
    <col min="85" max="85" width="9.57" customWidth="1"/>
    <col min="86" max="86" width="10.86" customWidth="1"/>
    <col min="87" max="87" width="8" customWidth="1"/>
    <col min="88" max="88" width="0.71" customWidth="1"/>
    <col min="89" max="89" width="10.86" customWidth="1"/>
    <col min="90" max="90" width="9.43" customWidth="1"/>
    <col min="91" max="91" width="10.57" customWidth="1"/>
    <col min="92" max="92" width="13.14" customWidth="1"/>
    <col min="93" max="93" width="11.43" customWidth="1"/>
    <col min="94" max="94" width="10.14" customWidth="1"/>
    <col min="95" max="95" width="11.57" customWidth="1"/>
    <col min="96" max="96" width="12.43" customWidth="1"/>
    <col min="97" max="97" width="14.71" hidden="1" customWidth="1"/>
    <col min="98" max="98" width="0.86" customWidth="1"/>
  </cols>
  <sheetData>
    <row r="1" ht="18.75" customHeight="1" spans="1:98" x14ac:dyDescent="0.25">
      <c r="A1" s="1"/>
      <c r="B1" s="2" t="s">
        <v>0</v>
      </c>
      <c r="C1" s="2"/>
      <c r="D1" s="3"/>
      <c r="E1" s="2"/>
      <c r="F1" s="2"/>
      <c r="G1" s="2"/>
      <c r="H1" s="2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6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</row>
    <row r="2" ht="15.75" customHeight="1" spans="1:98" x14ac:dyDescent="0.25">
      <c r="A2" s="1"/>
      <c r="B2" s="7" t="s">
        <v>1</v>
      </c>
      <c r="C2" s="8" t="s">
        <v>2</v>
      </c>
      <c r="D2" s="8"/>
      <c r="E2" s="8"/>
      <c r="F2" s="8"/>
      <c r="G2" s="8"/>
      <c r="H2" s="9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6"/>
      <c r="BF2" s="6"/>
      <c r="BG2" s="6"/>
      <c r="BH2" s="6"/>
      <c r="BI2" s="6"/>
      <c r="BJ2" s="6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</row>
    <row r="3" ht="19.5" customHeight="1" spans="1:98" x14ac:dyDescent="0.25">
      <c r="A3" s="1"/>
      <c r="B3" s="7" t="s">
        <v>3</v>
      </c>
      <c r="C3" s="8" t="s">
        <v>4</v>
      </c>
      <c r="D3" s="8"/>
      <c r="E3" s="8"/>
      <c r="F3" s="8"/>
      <c r="G3" s="8"/>
      <c r="H3" s="9"/>
      <c r="I3" s="10" t="s">
        <v>5</v>
      </c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"/>
      <c r="AW3" s="1"/>
      <c r="AX3" s="1"/>
      <c r="AY3" s="1"/>
      <c r="AZ3" s="1"/>
      <c r="BA3" s="1"/>
      <c r="BB3" s="1"/>
      <c r="BC3" s="11" t="s">
        <v>5</v>
      </c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</row>
    <row r="4" ht="21.75" customHeight="1" spans="1:98" x14ac:dyDescent="0.25">
      <c r="A4" s="1"/>
      <c r="B4" s="7" t="s">
        <v>6</v>
      </c>
      <c r="C4" s="12">
        <v>46266</v>
      </c>
      <c r="D4" s="13" t="s">
        <v>7</v>
      </c>
      <c r="E4" s="14"/>
      <c r="F4" s="14" t="s">
        <v>8</v>
      </c>
      <c r="G4" s="14"/>
      <c r="H4" s="15">
        <v>30</v>
      </c>
      <c r="I4" s="1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7" t="s">
        <v>9</v>
      </c>
      <c r="AM4" s="17"/>
      <c r="AN4" s="17"/>
      <c r="AO4" s="17"/>
      <c r="AP4" s="17"/>
      <c r="AQ4" s="17"/>
      <c r="AR4" s="17"/>
      <c r="AS4" s="17"/>
      <c r="AT4" s="17"/>
      <c r="AU4" s="17"/>
      <c r="AV4" s="18" t="s">
        <v>10</v>
      </c>
      <c r="AW4" s="18"/>
      <c r="AX4" s="18"/>
      <c r="AY4" s="18"/>
      <c r="AZ4" s="18"/>
      <c r="BA4" s="18"/>
      <c r="BB4" s="18"/>
      <c r="BC4" s="19" t="s">
        <v>11</v>
      </c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20" t="s">
        <v>12</v>
      </c>
      <c r="BR4" s="20"/>
      <c r="BS4" s="20"/>
      <c r="BT4" s="20"/>
      <c r="BU4" s="20"/>
      <c r="BV4" s="20"/>
      <c r="BW4" s="20"/>
      <c r="BX4" s="20"/>
      <c r="BY4" s="20"/>
      <c r="BZ4" s="21"/>
      <c r="CA4" s="22" t="s">
        <v>13</v>
      </c>
      <c r="CB4" s="22"/>
      <c r="CC4" s="22"/>
      <c r="CD4" s="22"/>
      <c r="CE4" s="22"/>
      <c r="CF4" s="22"/>
      <c r="CG4" s="22"/>
      <c r="CH4" s="22"/>
      <c r="CI4" s="23" t="s">
        <v>14</v>
      </c>
      <c r="CJ4" s="23"/>
      <c r="CK4" s="23"/>
      <c r="CL4" s="23"/>
      <c r="CM4" s="24" t="s">
        <v>15</v>
      </c>
      <c r="CN4" s="24"/>
      <c r="CO4" s="24"/>
      <c r="CP4" s="24"/>
      <c r="CQ4" s="24"/>
      <c r="CR4" s="24"/>
      <c r="CS4" s="1"/>
      <c r="CT4" s="1"/>
    </row>
    <row r="5" ht="76.5" customHeight="1" spans="1:98" x14ac:dyDescent="0.25">
      <c r="A5" s="25" t="s">
        <v>16</v>
      </c>
      <c r="B5" s="26" t="s">
        <v>17</v>
      </c>
      <c r="C5" s="27" t="s">
        <v>18</v>
      </c>
      <c r="D5" s="28" t="s">
        <v>19</v>
      </c>
      <c r="E5" s="27" t="s">
        <v>20</v>
      </c>
      <c r="F5" s="27" t="s">
        <v>21</v>
      </c>
      <c r="G5" s="27" t="s">
        <v>22</v>
      </c>
      <c r="H5" s="29" t="s">
        <v>23</v>
      </c>
      <c r="I5" s="30" t="s">
        <v>24</v>
      </c>
      <c r="J5" s="31" t="s">
        <v>25</v>
      </c>
      <c r="K5" s="31" t="s">
        <v>26</v>
      </c>
      <c r="L5" s="31" t="s">
        <v>27</v>
      </c>
      <c r="M5" s="31" t="s">
        <v>28</v>
      </c>
      <c r="N5" s="31" t="s">
        <v>29</v>
      </c>
      <c r="O5" s="31" t="s">
        <v>30</v>
      </c>
      <c r="P5" s="31" t="s">
        <v>31</v>
      </c>
      <c r="Q5" s="31" t="s">
        <v>32</v>
      </c>
      <c r="R5" s="31" t="s">
        <v>33</v>
      </c>
      <c r="S5" s="31" t="s">
        <v>34</v>
      </c>
      <c r="T5" s="31" t="s">
        <v>35</v>
      </c>
      <c r="U5" s="31" t="s">
        <v>36</v>
      </c>
      <c r="V5" s="32" t="s">
        <v>37</v>
      </c>
      <c r="W5" s="31" t="s">
        <v>38</v>
      </c>
      <c r="X5" s="31" t="s">
        <v>39</v>
      </c>
      <c r="Y5" s="31" t="s">
        <v>40</v>
      </c>
      <c r="Z5" s="31" t="s">
        <v>41</v>
      </c>
      <c r="AA5" s="31" t="s">
        <v>42</v>
      </c>
      <c r="AB5" s="31" t="s">
        <v>43</v>
      </c>
      <c r="AC5" s="31" t="s">
        <v>44</v>
      </c>
      <c r="AD5" s="31" t="s">
        <v>45</v>
      </c>
      <c r="AE5" s="31" t="s">
        <v>46</v>
      </c>
      <c r="AF5" s="31" t="s">
        <v>47</v>
      </c>
      <c r="AG5" s="31" t="s">
        <v>48</v>
      </c>
      <c r="AH5" s="33" t="s">
        <v>49</v>
      </c>
      <c r="AI5" s="33" t="s">
        <v>50</v>
      </c>
      <c r="AJ5" s="33" t="s">
        <v>51</v>
      </c>
      <c r="AK5" s="33" t="s">
        <v>52</v>
      </c>
      <c r="AL5" s="34" t="s">
        <v>53</v>
      </c>
      <c r="AM5" s="35" t="s">
        <v>54</v>
      </c>
      <c r="AN5" s="35" t="s">
        <v>55</v>
      </c>
      <c r="AO5" s="35" t="s">
        <v>56</v>
      </c>
      <c r="AP5" s="35" t="s">
        <v>57</v>
      </c>
      <c r="AQ5" s="35" t="s">
        <v>58</v>
      </c>
      <c r="AR5" s="35" t="s">
        <v>59</v>
      </c>
      <c r="AS5" s="35" t="s">
        <v>60</v>
      </c>
      <c r="AT5" s="35" t="s">
        <v>61</v>
      </c>
      <c r="AU5" s="36" t="s">
        <v>62</v>
      </c>
      <c r="AV5" s="37" t="s">
        <v>63</v>
      </c>
      <c r="AW5" s="38" t="s">
        <v>64</v>
      </c>
      <c r="AX5" s="38" t="s">
        <v>65</v>
      </c>
      <c r="AY5" s="38" t="s">
        <v>66</v>
      </c>
      <c r="AZ5" s="38" t="s">
        <v>67</v>
      </c>
      <c r="BA5" s="38" t="s">
        <v>68</v>
      </c>
      <c r="BB5" s="39" t="s">
        <v>69</v>
      </c>
      <c r="BC5" s="40" t="s">
        <v>70</v>
      </c>
      <c r="BD5" s="41" t="s">
        <v>71</v>
      </c>
      <c r="BE5" s="42" t="s">
        <v>72</v>
      </c>
      <c r="BF5" s="42" t="s">
        <v>73</v>
      </c>
      <c r="BG5" s="42" t="s">
        <v>74</v>
      </c>
      <c r="BH5" s="42" t="s">
        <v>75</v>
      </c>
      <c r="BI5" s="42" t="s">
        <v>76</v>
      </c>
      <c r="BJ5" s="42" t="s">
        <v>77</v>
      </c>
      <c r="BK5" s="43" t="s">
        <v>78</v>
      </c>
      <c r="BL5" s="44" t="s">
        <v>79</v>
      </c>
      <c r="BM5" s="45" t="s">
        <v>80</v>
      </c>
      <c r="BN5" s="44" t="s">
        <v>81</v>
      </c>
      <c r="BO5" s="45" t="s">
        <v>82</v>
      </c>
      <c r="BP5" s="46" t="s">
        <v>83</v>
      </c>
      <c r="BQ5" s="47" t="s">
        <v>84</v>
      </c>
      <c r="BR5" s="48" t="s">
        <v>85</v>
      </c>
      <c r="BS5" s="49" t="s">
        <v>86</v>
      </c>
      <c r="BT5" s="49" t="s">
        <v>87</v>
      </c>
      <c r="BU5" s="49" t="s">
        <v>88</v>
      </c>
      <c r="BV5" s="49" t="s">
        <v>89</v>
      </c>
      <c r="BW5" s="49" t="s">
        <v>90</v>
      </c>
      <c r="BX5" s="49" t="s">
        <v>91</v>
      </c>
      <c r="BY5" s="48" t="s">
        <v>92</v>
      </c>
      <c r="BZ5" s="50" t="s">
        <v>93</v>
      </c>
      <c r="CA5" s="51" t="s">
        <v>94</v>
      </c>
      <c r="CB5" s="52" t="s">
        <v>95</v>
      </c>
      <c r="CC5" s="53" t="s">
        <v>96</v>
      </c>
      <c r="CD5" s="53" t="s">
        <v>97</v>
      </c>
      <c r="CE5" s="54" t="s">
        <v>98</v>
      </c>
      <c r="CF5" s="55" t="s">
        <v>99</v>
      </c>
      <c r="CG5" s="55" t="s">
        <v>100</v>
      </c>
      <c r="CH5" s="56" t="s">
        <v>101</v>
      </c>
      <c r="CI5" s="57" t="s">
        <v>102</v>
      </c>
      <c r="CJ5" s="57"/>
      <c r="CK5" s="58" t="s">
        <v>103</v>
      </c>
      <c r="CL5" s="58" t="s">
        <v>104</v>
      </c>
      <c r="CM5" s="59" t="s">
        <v>105</v>
      </c>
      <c r="CN5" s="60" t="s">
        <v>106</v>
      </c>
      <c r="CO5" s="26" t="s">
        <v>107</v>
      </c>
      <c r="CP5" s="60" t="s">
        <v>108</v>
      </c>
      <c r="CQ5" s="60" t="s">
        <v>109</v>
      </c>
      <c r="CR5" s="61" t="s">
        <v>110</v>
      </c>
      <c r="CS5" s="62" t="s">
        <v>111</v>
      </c>
      <c r="CT5" s="63" t="s">
        <v>112</v>
      </c>
    </row>
    <row r="6" ht="15.75" customHeight="1" spans="1:98" x14ac:dyDescent="0.25">
      <c r="A6" s="25">
        <v>1</v>
      </c>
      <c r="B6" s="64" t="s">
        <v>2</v>
      </c>
      <c r="C6" s="65" t="s">
        <v>113</v>
      </c>
      <c r="D6" s="66" t="s">
        <v>114</v>
      </c>
      <c r="E6" s="25"/>
      <c r="F6" s="67"/>
      <c r="G6" s="68"/>
      <c r="H6" s="69">
        <v>1</v>
      </c>
      <c r="I6" s="69" t="s">
        <v>115</v>
      </c>
      <c r="J6" s="69">
        <v>1</v>
      </c>
      <c r="K6" s="69">
        <v>1</v>
      </c>
      <c r="L6" s="69">
        <v>1</v>
      </c>
      <c r="M6" s="70" t="s">
        <v>116</v>
      </c>
      <c r="N6" s="69">
        <v>1</v>
      </c>
      <c r="O6" s="69" t="s">
        <v>117</v>
      </c>
      <c r="P6" s="69" t="s">
        <v>117</v>
      </c>
      <c r="Q6" s="69" t="s">
        <v>117</v>
      </c>
      <c r="R6" s="69">
        <v>0</v>
      </c>
      <c r="S6" s="69">
        <v>0</v>
      </c>
      <c r="T6" s="70" t="s">
        <v>116</v>
      </c>
      <c r="U6" s="69">
        <v>0</v>
      </c>
      <c r="V6" s="69">
        <v>0</v>
      </c>
      <c r="W6" s="69">
        <v>1</v>
      </c>
      <c r="X6" s="69">
        <v>1</v>
      </c>
      <c r="Y6" s="69">
        <v>1</v>
      </c>
      <c r="Z6" s="69">
        <v>1</v>
      </c>
      <c r="AA6" s="70" t="s">
        <v>116</v>
      </c>
      <c r="AB6" s="69">
        <v>1</v>
      </c>
      <c r="AC6" s="69">
        <v>1</v>
      </c>
      <c r="AD6" s="69">
        <v>1</v>
      </c>
      <c r="AE6" s="69">
        <v>1</v>
      </c>
      <c r="AF6" s="69">
        <v>1</v>
      </c>
      <c r="AG6" s="69">
        <v>1</v>
      </c>
      <c r="AH6" s="70" t="s">
        <v>116</v>
      </c>
      <c r="AI6" s="69">
        <v>1</v>
      </c>
      <c r="AJ6" s="69">
        <v>1</v>
      </c>
      <c r="AK6" s="69">
        <v>1</v>
      </c>
      <c r="AL6" s="71">
        <f>SUM(H6:AK6)</f>
        <v>18</v>
      </c>
      <c r="AM6" s="72">
        <f>COUNTIF(H6:AK6,$B$22)</f>
        <v>4</v>
      </c>
      <c r="AN6" s="72">
        <f>COUNTIF(H6:AK6,$B$23)</f>
        <v>1</v>
      </c>
      <c r="AO6" s="73">
        <f>(H$4)-AL6-AM6-AN6</f>
        <v>7</v>
      </c>
      <c r="AP6" s="74">
        <v>1</v>
      </c>
      <c r="AQ6" s="75">
        <v>1</v>
      </c>
      <c r="AR6" s="76">
        <f>AP6+AQ6</f>
        <v>2</v>
      </c>
      <c r="AS6" s="76">
        <f>AR6-AO6</f>
        <v>-5</v>
      </c>
      <c r="AT6" s="77">
        <v>24</v>
      </c>
      <c r="AU6" s="78">
        <f>(H$4)-AT6</f>
        <v>6</v>
      </c>
      <c r="AV6" s="79"/>
      <c r="AW6" s="80"/>
      <c r="AX6" s="81"/>
      <c r="AY6" s="82"/>
      <c r="AZ6" s="82"/>
      <c r="BA6" s="83"/>
      <c r="BB6" s="83"/>
      <c r="BC6" s="84" t="s">
        <v>118</v>
      </c>
      <c r="BD6" s="85"/>
      <c r="BE6" s="86">
        <v>20440</v>
      </c>
      <c r="BF6" s="87"/>
      <c r="BG6" s="87"/>
      <c r="BH6" s="87"/>
      <c r="BI6" s="87"/>
      <c r="BJ6" s="87"/>
      <c r="BK6" s="85">
        <f>IF(BE6&gt;BL6,BE6-BL6,0)</f>
      </c>
      <c r="BL6" s="88"/>
      <c r="BM6" s="85"/>
      <c r="BN6" s="89">
        <f>BA6+BB6</f>
      </c>
      <c r="BO6" s="90"/>
      <c r="BP6" s="91">
        <v>20440</v>
      </c>
      <c r="BQ6" s="92" t="s">
        <v>119</v>
      </c>
      <c r="BR6" s="93" t="s">
        <v>119</v>
      </c>
      <c r="BS6" s="94" t="s">
        <v>119</v>
      </c>
      <c r="BT6" s="95"/>
      <c r="BU6" s="95">
        <f>AT6</f>
      </c>
      <c r="BV6" s="96">
        <v>1800</v>
      </c>
      <c r="BW6" s="96">
        <v>140</v>
      </c>
      <c r="BX6" s="97">
        <f>BV6</f>
      </c>
      <c r="BY6" s="97">
        <f>BW6</f>
      </c>
      <c r="BZ6" s="98">
        <f>BP6-BX6-BY6</f>
      </c>
      <c r="CA6" s="99"/>
      <c r="CB6" s="99"/>
      <c r="CC6" s="94"/>
      <c r="CD6" s="94"/>
      <c r="CE6" s="94"/>
      <c r="CF6" s="94"/>
      <c r="CG6" s="94"/>
      <c r="CH6" s="100"/>
      <c r="CI6" s="94"/>
      <c r="CJ6" s="101"/>
      <c r="CK6" s="102"/>
      <c r="CL6" s="94"/>
      <c r="CM6" s="103">
        <v>1940</v>
      </c>
      <c r="CN6" s="104">
        <f>BP6-CM6</f>
      </c>
      <c r="CO6" s="94"/>
      <c r="CP6" s="94"/>
      <c r="CQ6" s="94">
        <f>CN6-CO6</f>
      </c>
      <c r="CR6" s="105">
        <v>18500</v>
      </c>
      <c r="CS6" s="106"/>
      <c r="CT6" s="107">
        <f>$H$4</f>
      </c>
    </row>
    <row r="7" ht="15.75" customHeight="1" spans="1:98" x14ac:dyDescent="0.25">
      <c r="A7" s="25">
        <v>2</v>
      </c>
      <c r="B7" s="64" t="s">
        <v>2</v>
      </c>
      <c r="C7" s="65" t="s">
        <v>120</v>
      </c>
      <c r="D7" s="66" t="s">
        <v>121</v>
      </c>
      <c r="E7" s="25"/>
      <c r="F7" s="67"/>
      <c r="G7" s="68"/>
      <c r="H7" s="69">
        <v>1</v>
      </c>
      <c r="I7" s="69" t="s">
        <v>115</v>
      </c>
      <c r="J7" s="69">
        <v>1</v>
      </c>
      <c r="K7" s="69">
        <v>1</v>
      </c>
      <c r="L7" s="69">
        <v>1</v>
      </c>
      <c r="M7" s="70" t="s">
        <v>116</v>
      </c>
      <c r="N7" s="69">
        <v>1</v>
      </c>
      <c r="O7" s="69">
        <v>1</v>
      </c>
      <c r="P7" s="69">
        <v>1</v>
      </c>
      <c r="Q7" s="69">
        <v>1</v>
      </c>
      <c r="R7" s="69">
        <v>1</v>
      </c>
      <c r="S7" s="69">
        <v>1</v>
      </c>
      <c r="T7" s="70" t="s">
        <v>116</v>
      </c>
      <c r="U7" s="69">
        <v>1</v>
      </c>
      <c r="V7" s="69">
        <v>1</v>
      </c>
      <c r="W7" s="69" t="s">
        <v>117</v>
      </c>
      <c r="X7" s="69">
        <v>1</v>
      </c>
      <c r="Y7" s="69">
        <v>1</v>
      </c>
      <c r="Z7" s="69">
        <v>1</v>
      </c>
      <c r="AA7" s="70" t="s">
        <v>116</v>
      </c>
      <c r="AB7" s="69">
        <v>1</v>
      </c>
      <c r="AC7" s="69">
        <v>1</v>
      </c>
      <c r="AD7" s="69">
        <v>1</v>
      </c>
      <c r="AE7" s="69">
        <v>1</v>
      </c>
      <c r="AF7" s="69">
        <v>1</v>
      </c>
      <c r="AG7" s="69">
        <v>1</v>
      </c>
      <c r="AH7" s="70" t="s">
        <v>116</v>
      </c>
      <c r="AI7" s="69">
        <v>1</v>
      </c>
      <c r="AJ7" s="69">
        <v>1</v>
      </c>
      <c r="AK7" s="69">
        <v>1</v>
      </c>
      <c r="AL7" s="71">
        <f>SUM(H7:AK7)</f>
        <v>24</v>
      </c>
      <c r="AM7" s="72">
        <f>COUNTIF(H7:AK7,$B$22)</f>
        <v>4</v>
      </c>
      <c r="AN7" s="72">
        <f>COUNTIF(H7:AK7,$B$23)</f>
        <v>1</v>
      </c>
      <c r="AO7" s="73">
        <f>(H$4)-AL7-AM7-AN7</f>
        <v>1</v>
      </c>
      <c r="AP7" s="74">
        <v>1</v>
      </c>
      <c r="AQ7" s="75">
        <v>1</v>
      </c>
      <c r="AR7" s="76">
        <f>AP7+AQ7</f>
        <v>2</v>
      </c>
      <c r="AS7" s="76">
        <f>AR7-AO7</f>
        <v>1</v>
      </c>
      <c r="AT7" s="77">
        <v>30</v>
      </c>
      <c r="AU7" s="78">
        <f>(H$4)-AT7</f>
        <v>0</v>
      </c>
      <c r="AV7" s="79"/>
      <c r="AW7" s="80"/>
      <c r="AX7" s="81"/>
      <c r="AY7" s="82"/>
      <c r="AZ7" s="82"/>
      <c r="BA7" s="83"/>
      <c r="BB7" s="83"/>
      <c r="BC7" s="84" t="s">
        <v>118</v>
      </c>
      <c r="BD7" s="85"/>
      <c r="BE7" s="86">
        <v>33800</v>
      </c>
      <c r="BF7" s="87"/>
      <c r="BG7" s="87"/>
      <c r="BH7" s="87"/>
      <c r="BI7" s="87"/>
      <c r="BJ7" s="87"/>
      <c r="BK7" s="85">
        <f>IF(BE7&gt;BL7,BE7-BL7,0)</f>
      </c>
      <c r="BL7" s="88"/>
      <c r="BM7" s="85"/>
      <c r="BN7" s="89">
        <f>BA7+BB7</f>
      </c>
      <c r="BO7" s="90"/>
      <c r="BP7" s="91">
        <v>33800</v>
      </c>
      <c r="BQ7" s="92" t="s">
        <v>119</v>
      </c>
      <c r="BR7" s="93" t="s">
        <v>119</v>
      </c>
      <c r="BS7" s="94" t="s">
        <v>119</v>
      </c>
      <c r="BT7" s="95"/>
      <c r="BU7" s="95">
        <f>AT7</f>
      </c>
      <c r="BV7" s="96">
        <v>1800</v>
      </c>
      <c r="BW7" s="96"/>
      <c r="BX7" s="97">
        <f>BV7</f>
      </c>
      <c r="BY7" s="97">
        <f>BW7</f>
      </c>
      <c r="BZ7" s="98">
        <f>BP7-BX7-BY7</f>
      </c>
      <c r="CA7" s="99"/>
      <c r="CB7" s="99"/>
      <c r="CC7" s="94"/>
      <c r="CD7" s="94"/>
      <c r="CE7" s="94"/>
      <c r="CF7" s="94"/>
      <c r="CG7" s="94"/>
      <c r="CH7" s="100"/>
      <c r="CI7" s="94"/>
      <c r="CJ7" s="101"/>
      <c r="CK7" s="102"/>
      <c r="CL7" s="94"/>
      <c r="CM7" s="103">
        <v>1800</v>
      </c>
      <c r="CN7" s="104">
        <f>BP7-CM7</f>
      </c>
      <c r="CO7" s="94"/>
      <c r="CP7" s="94"/>
      <c r="CQ7" s="94">
        <f>CN7-CO7</f>
      </c>
      <c r="CR7" s="105">
        <v>32000</v>
      </c>
      <c r="CS7" s="106"/>
      <c r="CT7" s="107">
        <f>$H$4</f>
      </c>
    </row>
    <row r="8" ht="15.75" customHeight="1" spans="1:98" x14ac:dyDescent="0.25">
      <c r="A8" s="25">
        <v>3</v>
      </c>
      <c r="B8" s="64" t="s">
        <v>2</v>
      </c>
      <c r="C8" s="65" t="s">
        <v>122</v>
      </c>
      <c r="D8" s="66" t="s">
        <v>123</v>
      </c>
      <c r="E8" s="25"/>
      <c r="F8" s="67"/>
      <c r="G8" s="68"/>
      <c r="H8" s="69">
        <v>1</v>
      </c>
      <c r="I8" s="69" t="s">
        <v>115</v>
      </c>
      <c r="J8" s="69">
        <v>1</v>
      </c>
      <c r="K8" s="69">
        <v>1</v>
      </c>
      <c r="L8" s="69">
        <v>1</v>
      </c>
      <c r="M8" s="70" t="s">
        <v>116</v>
      </c>
      <c r="N8" s="69">
        <v>1</v>
      </c>
      <c r="O8" s="69">
        <v>1</v>
      </c>
      <c r="P8" s="69">
        <v>1</v>
      </c>
      <c r="Q8" s="69">
        <v>1</v>
      </c>
      <c r="R8" s="69">
        <v>1</v>
      </c>
      <c r="S8" s="69">
        <v>1</v>
      </c>
      <c r="T8" s="70" t="s">
        <v>116</v>
      </c>
      <c r="U8" s="69">
        <v>1</v>
      </c>
      <c r="V8" s="69">
        <v>1</v>
      </c>
      <c r="W8" s="69">
        <v>1</v>
      </c>
      <c r="X8" s="69">
        <v>1</v>
      </c>
      <c r="Y8" s="69">
        <v>1</v>
      </c>
      <c r="Z8" s="69">
        <v>1</v>
      </c>
      <c r="AA8" s="70" t="s">
        <v>116</v>
      </c>
      <c r="AB8" s="69">
        <v>1</v>
      </c>
      <c r="AC8" s="69">
        <v>1</v>
      </c>
      <c r="AD8" s="69">
        <v>1</v>
      </c>
      <c r="AE8" s="69">
        <v>1</v>
      </c>
      <c r="AF8" s="69">
        <v>1</v>
      </c>
      <c r="AG8" s="69">
        <v>1</v>
      </c>
      <c r="AH8" s="70" t="s">
        <v>116</v>
      </c>
      <c r="AI8" s="69">
        <v>1</v>
      </c>
      <c r="AJ8" s="69">
        <v>1</v>
      </c>
      <c r="AK8" s="69">
        <v>1</v>
      </c>
      <c r="AL8" s="71">
        <f>SUM(H8:AK8)</f>
        <v>25</v>
      </c>
      <c r="AM8" s="72">
        <f>COUNTIF(H8:AK8,$B$22)</f>
        <v>4</v>
      </c>
      <c r="AN8" s="72">
        <f>COUNTIF(H8:AK8,$B$23)</f>
        <v>1</v>
      </c>
      <c r="AO8" s="73">
        <f>(H$4)-AL8-AM8-AN8</f>
        <v>0</v>
      </c>
      <c r="AP8" s="74">
        <v>2</v>
      </c>
      <c r="AQ8" s="75">
        <v>1</v>
      </c>
      <c r="AR8" s="76">
        <f>AP8+AQ8</f>
        <v>3</v>
      </c>
      <c r="AS8" s="76">
        <f>AR8-AO8</f>
        <v>3</v>
      </c>
      <c r="AT8" s="77">
        <v>30</v>
      </c>
      <c r="AU8" s="78">
        <f>(H$4)-AT8</f>
        <v>0</v>
      </c>
      <c r="AV8" s="79"/>
      <c r="AW8" s="80"/>
      <c r="AX8" s="81"/>
      <c r="AY8" s="82"/>
      <c r="AZ8" s="82"/>
      <c r="BA8" s="83"/>
      <c r="BB8" s="83"/>
      <c r="BC8" s="84" t="s">
        <v>118</v>
      </c>
      <c r="BD8" s="85"/>
      <c r="BE8" s="86">
        <v>46800</v>
      </c>
      <c r="BF8" s="87"/>
      <c r="BG8" s="87"/>
      <c r="BH8" s="87"/>
      <c r="BI8" s="87"/>
      <c r="BJ8" s="87"/>
      <c r="BK8" s="85">
        <f>IF(BE8&gt;BL8,BE8-BL8,0)</f>
      </c>
      <c r="BL8" s="88"/>
      <c r="BM8" s="85"/>
      <c r="BN8" s="89">
        <f>BA8+BB8</f>
      </c>
      <c r="BO8" s="90"/>
      <c r="BP8" s="91">
        <v>46800</v>
      </c>
      <c r="BQ8" s="92" t="s">
        <v>119</v>
      </c>
      <c r="BR8" s="93" t="s">
        <v>119</v>
      </c>
      <c r="BS8" s="94" t="s">
        <v>119</v>
      </c>
      <c r="BT8" s="95"/>
      <c r="BU8" s="95">
        <f>AT8</f>
      </c>
      <c r="BV8" s="96">
        <v>1800</v>
      </c>
      <c r="BW8" s="96"/>
      <c r="BX8" s="97">
        <f>BV8</f>
      </c>
      <c r="BY8" s="97">
        <f>BW8</f>
      </c>
      <c r="BZ8" s="98">
        <f>BP8-BX8-BY8</f>
      </c>
      <c r="CA8" s="99"/>
      <c r="CB8" s="99"/>
      <c r="CC8" s="94"/>
      <c r="CD8" s="94"/>
      <c r="CE8" s="94"/>
      <c r="CF8" s="94"/>
      <c r="CG8" s="94"/>
      <c r="CH8" s="100"/>
      <c r="CI8" s="94"/>
      <c r="CJ8" s="101"/>
      <c r="CK8" s="102"/>
      <c r="CL8" s="94"/>
      <c r="CM8" s="103">
        <v>1800</v>
      </c>
      <c r="CN8" s="104">
        <f>BP8-CM8</f>
      </c>
      <c r="CO8" s="94"/>
      <c r="CP8" s="94"/>
      <c r="CQ8" s="94">
        <f>CN8-CO8</f>
      </c>
      <c r="CR8" s="105">
        <v>45000</v>
      </c>
      <c r="CS8" s="106"/>
      <c r="CT8" s="107">
        <f>$H$4</f>
      </c>
    </row>
    <row r="9" ht="15.75" customHeight="1" spans="1:98" x14ac:dyDescent="0.25">
      <c r="A9" s="25">
        <v>4</v>
      </c>
      <c r="B9" s="64" t="s">
        <v>2</v>
      </c>
      <c r="C9" s="65" t="s">
        <v>124</v>
      </c>
      <c r="D9" s="66" t="s">
        <v>125</v>
      </c>
      <c r="E9" s="25"/>
      <c r="F9" s="67"/>
      <c r="G9" s="68"/>
      <c r="H9" s="69">
        <v>1</v>
      </c>
      <c r="I9" s="69" t="s">
        <v>115</v>
      </c>
      <c r="J9" s="69">
        <v>0.5</v>
      </c>
      <c r="K9" s="69">
        <v>1</v>
      </c>
      <c r="L9" s="69">
        <v>1</v>
      </c>
      <c r="M9" s="70" t="s">
        <v>116</v>
      </c>
      <c r="N9" s="69">
        <v>1</v>
      </c>
      <c r="O9" s="69">
        <v>1</v>
      </c>
      <c r="P9" s="69">
        <v>1</v>
      </c>
      <c r="Q9" s="69">
        <v>1</v>
      </c>
      <c r="R9" s="69">
        <v>1</v>
      </c>
      <c r="S9" s="69">
        <v>1</v>
      </c>
      <c r="T9" s="70" t="s">
        <v>116</v>
      </c>
      <c r="U9" s="69">
        <v>1</v>
      </c>
      <c r="V9" s="69">
        <v>1</v>
      </c>
      <c r="W9" s="69">
        <v>1</v>
      </c>
      <c r="X9" s="69">
        <v>1</v>
      </c>
      <c r="Y9" s="69">
        <v>1</v>
      </c>
      <c r="Z9" s="69">
        <v>1</v>
      </c>
      <c r="AA9" s="70" t="s">
        <v>116</v>
      </c>
      <c r="AB9" s="69" t="s">
        <v>117</v>
      </c>
      <c r="AC9" s="69" t="s">
        <v>117</v>
      </c>
      <c r="AD9" s="69">
        <v>0</v>
      </c>
      <c r="AE9" s="69">
        <v>0</v>
      </c>
      <c r="AF9" s="69">
        <v>0</v>
      </c>
      <c r="AG9" s="69">
        <v>0</v>
      </c>
      <c r="AH9" s="70" t="s">
        <v>116</v>
      </c>
      <c r="AI9" s="69">
        <v>0</v>
      </c>
      <c r="AJ9" s="69">
        <v>0</v>
      </c>
      <c r="AK9" s="69">
        <v>0</v>
      </c>
      <c r="AL9" s="71">
        <f>SUM(H9:AK9)</f>
        <v>15.5</v>
      </c>
      <c r="AM9" s="72">
        <f>COUNTIF(H9:AK9,$B$22)</f>
        <v>4</v>
      </c>
      <c r="AN9" s="72">
        <f>COUNTIF(H9:AK9,$B$23)</f>
        <v>1</v>
      </c>
      <c r="AO9" s="73">
        <f>(H$4)-AL9-AM9-AN9</f>
        <v>9.5</v>
      </c>
      <c r="AP9" s="74">
        <v>1</v>
      </c>
      <c r="AQ9" s="75">
        <v>1</v>
      </c>
      <c r="AR9" s="76">
        <f>AP9+AQ9</f>
        <v>2</v>
      </c>
      <c r="AS9" s="76">
        <f>AR9-AO9</f>
        <v>-7.5</v>
      </c>
      <c r="AT9" s="77">
        <v>21.5</v>
      </c>
      <c r="AU9" s="78">
        <f>(H$4)-AT9</f>
        <v>8.5</v>
      </c>
      <c r="AV9" s="79"/>
      <c r="AW9" s="80"/>
      <c r="AX9" s="81"/>
      <c r="AY9" s="82"/>
      <c r="AZ9" s="82"/>
      <c r="BA9" s="83"/>
      <c r="BB9" s="83"/>
      <c r="BC9" s="84" t="s">
        <v>118</v>
      </c>
      <c r="BD9" s="85"/>
      <c r="BE9" s="86">
        <v>27800</v>
      </c>
      <c r="BF9" s="87"/>
      <c r="BG9" s="87"/>
      <c r="BH9" s="87"/>
      <c r="BI9" s="87"/>
      <c r="BJ9" s="87"/>
      <c r="BK9" s="85">
        <f>IF(BE9&gt;BL9,BE9-BL9,0)</f>
      </c>
      <c r="BL9" s="88"/>
      <c r="BM9" s="85"/>
      <c r="BN9" s="89">
        <f>BA9+BB9</f>
      </c>
      <c r="BO9" s="90"/>
      <c r="BP9" s="91">
        <v>27800</v>
      </c>
      <c r="BQ9" s="92" t="s">
        <v>119</v>
      </c>
      <c r="BR9" s="93" t="s">
        <v>119</v>
      </c>
      <c r="BS9" s="94" t="s">
        <v>119</v>
      </c>
      <c r="BT9" s="95"/>
      <c r="BU9" s="95">
        <f>AT9</f>
      </c>
      <c r="BV9" s="96">
        <v>1800</v>
      </c>
      <c r="BW9" s="96"/>
      <c r="BX9" s="97">
        <f>BV9</f>
      </c>
      <c r="BY9" s="97">
        <f>BW9</f>
      </c>
      <c r="BZ9" s="98">
        <f>BP9-BX9-BY9</f>
      </c>
      <c r="CA9" s="99"/>
      <c r="CB9" s="99"/>
      <c r="CC9" s="94"/>
      <c r="CD9" s="94"/>
      <c r="CE9" s="94"/>
      <c r="CF9" s="94"/>
      <c r="CG9" s="94"/>
      <c r="CH9" s="100"/>
      <c r="CI9" s="94"/>
      <c r="CJ9" s="101"/>
      <c r="CK9" s="102"/>
      <c r="CL9" s="94"/>
      <c r="CM9" s="103">
        <v>1800</v>
      </c>
      <c r="CN9" s="104">
        <f>BP9-CM9</f>
      </c>
      <c r="CO9" s="94"/>
      <c r="CP9" s="94"/>
      <c r="CQ9" s="94">
        <f>CN9-CO9</f>
      </c>
      <c r="CR9" s="105">
        <v>26000</v>
      </c>
      <c r="CS9" s="106"/>
      <c r="CT9" s="107">
        <f>$H$4</f>
      </c>
    </row>
    <row r="14" spans="2:2" x14ac:dyDescent="0.25">
      <c r="B14" s="108" t="s">
        <v>126</v>
      </c>
    </row>
    <row r="15" spans="4:4" x14ac:dyDescent="0.25">
      <c r="D15" t="s">
        <v>127</v>
      </c>
    </row>
    <row r="16" spans="4:4" x14ac:dyDescent="0.25">
      <c r="D16" t="s">
        <v>128</v>
      </c>
    </row>
    <row r="17" spans="4:4" x14ac:dyDescent="0.25">
      <c r="D17" t="s">
        <v>129</v>
      </c>
    </row>
    <row r="18" spans="4:4" x14ac:dyDescent="0.25">
      <c r="D18" t="s">
        <v>130</v>
      </c>
    </row>
    <row r="19" spans="2:4" x14ac:dyDescent="0.25">
      <c r="B19" s="108">
        <v>1</v>
      </c>
      <c r="D19" t="s">
        <v>131</v>
      </c>
    </row>
    <row r="20" spans="2:4" x14ac:dyDescent="0.25">
      <c r="B20" s="108">
        <v>0.5</v>
      </c>
      <c r="D20" t="s">
        <v>132</v>
      </c>
    </row>
    <row r="21" spans="2:4" x14ac:dyDescent="0.25">
      <c r="B21" s="108" t="s">
        <v>117</v>
      </c>
      <c r="D21" t="s">
        <v>133</v>
      </c>
    </row>
    <row r="22" spans="2:4" x14ac:dyDescent="0.25">
      <c r="B22" s="108" t="s">
        <v>116</v>
      </c>
      <c r="D22" t="s">
        <v>134</v>
      </c>
    </row>
    <row r="23" spans="2:4" x14ac:dyDescent="0.25">
      <c r="B23" s="108" t="s">
        <v>115</v>
      </c>
      <c r="D23" t="s">
        <v>135</v>
      </c>
    </row>
    <row r="24" spans="4:4" x14ac:dyDescent="0.25">
      <c r="D24" t="s">
        <v>136</v>
      </c>
    </row>
    <row r="25" spans="4:4" x14ac:dyDescent="0.25">
      <c r="D25" t="s">
        <v>137</v>
      </c>
    </row>
    <row r="26" spans="4:4" x14ac:dyDescent="0.25">
      <c r="D26" t="s">
        <v>138</v>
      </c>
    </row>
  </sheetData>
  <mergeCells count="8">
    <mergeCell ref="I3:AU3"/>
    <mergeCell ref="BC3:BZ3"/>
    <mergeCell ref="AL4:AU4"/>
    <mergeCell ref="AV4:BB4"/>
    <mergeCell ref="BC4:BP4"/>
    <mergeCell ref="BQ4:BY4"/>
    <mergeCell ref="CA4:CH4"/>
    <mergeCell ref="CM4:CR4"/>
  </mergeCells>
  <conditionalFormatting sqref="H6:AK9">
    <cfRule type="containsText" dxfId="0" priority="1">
      <formula>NOT(ISERROR(SEARCH("H",H6)))</formula>
    </cfRule>
    <cfRule type="containsText" dxfId="1" priority="2">
      <formula>NOT(ISERROR(SEARCH("L",H6)))</formula>
    </cfRule>
  </conditionalFormatting>
  <dataValidations count="2">
    <dataValidation type="list" allowBlank="1" sqref="AA6:AK9">
      <formula1>$B$19:$B$23</formula1>
    </dataValidation>
    <dataValidation type="list" allowBlank="1" sqref="H6:AK9">
      <formula1>$B$19:$B$23</formula1>
    </dataValidation>
  </dataValidations>
  <pageMargins left="0.7" right="0.7" top="0.75" bottom="0.75" header="0.3" footer="0.3"/>
  <pageSetup paperSize="8"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W26"/>
  <sheetViews>
    <sheetView workbookViewId="0" zoomScale="100">
      <pane xSplit="7" ySplit="5" topLeftCell="H6" activePane="bottomRight" state="frozen"/>
      <selection pane="bottomRight"/>
    </sheetView>
  </sheetViews>
  <sheetFormatPr defaultRowHeight="15" outlineLevelRow="0" outlineLevelCol="0" x14ac:dyDescent="55"/>
  <cols>
    <col min="1" max="1" width="3.43" customWidth="1"/>
    <col min="2" max="2" width="10.86" customWidth="1"/>
    <col min="3" max="3" width="12.43" customWidth="1"/>
    <col min="4" max="4" width="20.57" customWidth="1"/>
    <col min="5" max="5" width="3.57" hidden="1" customWidth="1"/>
    <col min="6" max="6" width="4.86" hidden="1" customWidth="1"/>
    <col min="7" max="7" width="4.43" hidden="1" customWidth="1"/>
    <col min="8" max="37" width="5.43" customWidth="1"/>
    <col min="38" max="38" width="7.14" customWidth="1"/>
    <col min="39" max="40" width="4.43" customWidth="1"/>
    <col min="41" max="41" width="6.71" customWidth="1"/>
    <col min="42" max="42" width="5.43" customWidth="1"/>
    <col min="43" max="43" width="6.57" customWidth="1"/>
    <col min="44" max="44" width="5" customWidth="1"/>
    <col min="45" max="45" width="7.14" customWidth="1"/>
    <col min="46" max="46" width="8" customWidth="1"/>
    <col min="47" max="47" width="6.71" customWidth="1"/>
    <col min="48" max="48" width="8.71" customWidth="1"/>
    <col min="49" max="49" width="6.71" customWidth="1"/>
    <col min="50" max="50" width="8.43" customWidth="1"/>
    <col min="51" max="51" width="5.29" customWidth="1"/>
    <col min="52" max="52" width="8" customWidth="1"/>
    <col min="53" max="53" width="9.29" customWidth="1"/>
    <col min="54" max="54" width="10" customWidth="1"/>
    <col min="55" max="56" width="8" customWidth="1"/>
    <col min="57" max="57" width="11.43" customWidth="1"/>
    <col min="58" max="58" width="7.43" hidden="1" customWidth="1"/>
    <col min="59" max="59" width="7.86" hidden="1" customWidth="1"/>
    <col min="60" max="60" width="7.14" hidden="1" customWidth="1"/>
    <col min="61" max="61" width="2" hidden="1" customWidth="1"/>
    <col min="62" max="62" width="0.71" hidden="1" customWidth="1"/>
    <col min="63" max="63" width="11.71" customWidth="1"/>
    <col min="64" max="64" width="11.57" customWidth="1"/>
    <col min="65" max="65" width="10.29" customWidth="1"/>
    <col min="66" max="67" width="10.86" customWidth="1"/>
    <col min="68" max="68" width="12" customWidth="1"/>
    <col min="69" max="69" width="6.14" customWidth="1"/>
    <col min="70" max="73" width="8" customWidth="1"/>
    <col min="74" max="74" width="8.57" customWidth="1"/>
    <col min="75" max="77" width="8" customWidth="1"/>
    <col min="78" max="78" width="12.71" customWidth="1"/>
    <col min="79" max="79" width="12.29" customWidth="1"/>
    <col min="80" max="80" width="11.14" customWidth="1"/>
    <col min="81" max="83" width="10.29" customWidth="1"/>
    <col min="84" max="84" width="10" customWidth="1"/>
    <col min="85" max="85" width="9.57" customWidth="1"/>
    <col min="86" max="86" width="10.86" customWidth="1"/>
    <col min="87" max="87" width="8" customWidth="1"/>
    <col min="88" max="88" width="0.71" customWidth="1"/>
    <col min="89" max="89" width="10.86" customWidth="1"/>
    <col min="90" max="90" width="9.43" customWidth="1"/>
    <col min="91" max="91" width="10.57" customWidth="1"/>
    <col min="92" max="92" width="13.14" customWidth="1"/>
    <col min="93" max="93" width="11.43" customWidth="1"/>
    <col min="94" max="94" width="10.14" customWidth="1"/>
    <col min="95" max="95" width="11.57" customWidth="1"/>
    <col min="96" max="96" width="12.43" customWidth="1"/>
    <col min="97" max="97" width="14.71" hidden="1" customWidth="1"/>
    <col min="98" max="98" width="0.86" customWidth="1"/>
    <col min="99" max="101" width="18" customWidth="1"/>
  </cols>
  <sheetData>
    <row r="1" ht="18.75" customHeight="1" spans="1:101" x14ac:dyDescent="0.25">
      <c r="A1" s="1"/>
      <c r="B1" s="2" t="s">
        <v>0</v>
      </c>
      <c r="C1" s="2"/>
      <c r="D1" s="3"/>
      <c r="E1" s="2"/>
      <c r="F1" s="2"/>
      <c r="G1" s="2"/>
      <c r="H1" s="2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6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09" t="s">
        <v>139</v>
      </c>
      <c r="CV1" s="109"/>
      <c r="CW1" s="109"/>
    </row>
    <row r="2" ht="15.75" customHeight="1" spans="1:98" x14ac:dyDescent="0.25">
      <c r="A2" s="1"/>
      <c r="B2" s="7" t="s">
        <v>1</v>
      </c>
      <c r="C2" s="8" t="s">
        <v>2</v>
      </c>
      <c r="D2" s="8"/>
      <c r="E2" s="8"/>
      <c r="F2" s="8"/>
      <c r="G2" s="8"/>
      <c r="H2" s="9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6"/>
      <c r="BF2" s="6"/>
      <c r="BG2" s="6"/>
      <c r="BH2" s="6"/>
      <c r="BI2" s="6"/>
      <c r="BJ2" s="6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</row>
    <row r="3" ht="30" customHeight="1" spans="1:101" x14ac:dyDescent="0.25">
      <c r="A3" s="1"/>
      <c r="B3" s="7" t="s">
        <v>3</v>
      </c>
      <c r="C3" s="8" t="s">
        <v>4</v>
      </c>
      <c r="D3" s="8"/>
      <c r="E3" s="8"/>
      <c r="F3" s="8"/>
      <c r="G3" s="8"/>
      <c r="H3" s="9"/>
      <c r="I3" s="10" t="s">
        <v>5</v>
      </c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"/>
      <c r="AW3" s="1"/>
      <c r="AX3" s="1"/>
      <c r="AY3" s="1"/>
      <c r="AZ3" s="1"/>
      <c r="BA3" s="1"/>
      <c r="BB3" s="1"/>
      <c r="BC3" s="11" t="s">
        <v>5</v>
      </c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10" t="s">
        <v>140</v>
      </c>
      <c r="CV3" s="110"/>
      <c r="CW3" s="110"/>
    </row>
    <row r="4" ht="21.75" customHeight="1" spans="1:98" x14ac:dyDescent="0.25">
      <c r="A4" s="1"/>
      <c r="B4" s="7" t="s">
        <v>6</v>
      </c>
      <c r="C4" s="12">
        <v>46266</v>
      </c>
      <c r="D4" s="13" t="s">
        <v>7</v>
      </c>
      <c r="E4" s="14"/>
      <c r="F4" s="14" t="s">
        <v>8</v>
      </c>
      <c r="G4" s="14"/>
      <c r="H4" s="15">
        <v>30</v>
      </c>
      <c r="I4" s="1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7" t="s">
        <v>9</v>
      </c>
      <c r="AM4" s="17"/>
      <c r="AN4" s="17"/>
      <c r="AO4" s="17"/>
      <c r="AP4" s="17"/>
      <c r="AQ4" s="17"/>
      <c r="AR4" s="17"/>
      <c r="AS4" s="17"/>
      <c r="AT4" s="17"/>
      <c r="AU4" s="17"/>
      <c r="AV4" s="18" t="s">
        <v>10</v>
      </c>
      <c r="AW4" s="18"/>
      <c r="AX4" s="18"/>
      <c r="AY4" s="18"/>
      <c r="AZ4" s="18"/>
      <c r="BA4" s="18"/>
      <c r="BB4" s="18"/>
      <c r="BC4" s="19" t="s">
        <v>11</v>
      </c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20" t="s">
        <v>12</v>
      </c>
      <c r="BR4" s="20"/>
      <c r="BS4" s="20"/>
      <c r="BT4" s="20"/>
      <c r="BU4" s="20"/>
      <c r="BV4" s="20"/>
      <c r="BW4" s="20"/>
      <c r="BX4" s="20"/>
      <c r="BY4" s="20"/>
      <c r="BZ4" s="21"/>
      <c r="CA4" s="22" t="s">
        <v>13</v>
      </c>
      <c r="CB4" s="22"/>
      <c r="CC4" s="22"/>
      <c r="CD4" s="22"/>
      <c r="CE4" s="22"/>
      <c r="CF4" s="22"/>
      <c r="CG4" s="22"/>
      <c r="CH4" s="22"/>
      <c r="CI4" s="23" t="s">
        <v>14</v>
      </c>
      <c r="CJ4" s="23"/>
      <c r="CK4" s="23"/>
      <c r="CL4" s="23"/>
      <c r="CM4" s="24" t="s">
        <v>15</v>
      </c>
      <c r="CN4" s="24"/>
      <c r="CO4" s="24"/>
      <c r="CP4" s="24"/>
      <c r="CQ4" s="24"/>
      <c r="CR4" s="24"/>
      <c r="CS4" s="1"/>
      <c r="CT4" s="1"/>
    </row>
    <row r="5" ht="76.5" customHeight="1" spans="1:101" x14ac:dyDescent="0.25">
      <c r="A5" s="25" t="s">
        <v>16</v>
      </c>
      <c r="B5" s="26" t="s">
        <v>17</v>
      </c>
      <c r="C5" s="27" t="s">
        <v>18</v>
      </c>
      <c r="D5" s="28" t="s">
        <v>19</v>
      </c>
      <c r="E5" s="27" t="s">
        <v>20</v>
      </c>
      <c r="F5" s="27" t="s">
        <v>21</v>
      </c>
      <c r="G5" s="27" t="s">
        <v>22</v>
      </c>
      <c r="H5" s="29" t="s">
        <v>23</v>
      </c>
      <c r="I5" s="30" t="s">
        <v>24</v>
      </c>
      <c r="J5" s="31" t="s">
        <v>25</v>
      </c>
      <c r="K5" s="31" t="s">
        <v>26</v>
      </c>
      <c r="L5" s="31" t="s">
        <v>27</v>
      </c>
      <c r="M5" s="31" t="s">
        <v>28</v>
      </c>
      <c r="N5" s="31" t="s">
        <v>29</v>
      </c>
      <c r="O5" s="31" t="s">
        <v>30</v>
      </c>
      <c r="P5" s="31" t="s">
        <v>31</v>
      </c>
      <c r="Q5" s="31" t="s">
        <v>32</v>
      </c>
      <c r="R5" s="31" t="s">
        <v>33</v>
      </c>
      <c r="S5" s="31" t="s">
        <v>34</v>
      </c>
      <c r="T5" s="31" t="s">
        <v>35</v>
      </c>
      <c r="U5" s="31" t="s">
        <v>36</v>
      </c>
      <c r="V5" s="32" t="s">
        <v>37</v>
      </c>
      <c r="W5" s="31" t="s">
        <v>38</v>
      </c>
      <c r="X5" s="31" t="s">
        <v>39</v>
      </c>
      <c r="Y5" s="31" t="s">
        <v>40</v>
      </c>
      <c r="Z5" s="31" t="s">
        <v>41</v>
      </c>
      <c r="AA5" s="31" t="s">
        <v>42</v>
      </c>
      <c r="AB5" s="31" t="s">
        <v>43</v>
      </c>
      <c r="AC5" s="31" t="s">
        <v>44</v>
      </c>
      <c r="AD5" s="31" t="s">
        <v>45</v>
      </c>
      <c r="AE5" s="31" t="s">
        <v>46</v>
      </c>
      <c r="AF5" s="31" t="s">
        <v>47</v>
      </c>
      <c r="AG5" s="31" t="s">
        <v>48</v>
      </c>
      <c r="AH5" s="33" t="s">
        <v>49</v>
      </c>
      <c r="AI5" s="33" t="s">
        <v>50</v>
      </c>
      <c r="AJ5" s="33" t="s">
        <v>51</v>
      </c>
      <c r="AK5" s="33" t="s">
        <v>52</v>
      </c>
      <c r="AL5" s="34" t="s">
        <v>53</v>
      </c>
      <c r="AM5" s="35" t="s">
        <v>54</v>
      </c>
      <c r="AN5" s="35" t="s">
        <v>55</v>
      </c>
      <c r="AO5" s="35" t="s">
        <v>56</v>
      </c>
      <c r="AP5" s="35" t="s">
        <v>57</v>
      </c>
      <c r="AQ5" s="35" t="s">
        <v>58</v>
      </c>
      <c r="AR5" s="35" t="s">
        <v>59</v>
      </c>
      <c r="AS5" s="35" t="s">
        <v>60</v>
      </c>
      <c r="AT5" s="35" t="s">
        <v>61</v>
      </c>
      <c r="AU5" s="36" t="s">
        <v>62</v>
      </c>
      <c r="AV5" s="37" t="s">
        <v>63</v>
      </c>
      <c r="AW5" s="38" t="s">
        <v>64</v>
      </c>
      <c r="AX5" s="38" t="s">
        <v>65</v>
      </c>
      <c r="AY5" s="38" t="s">
        <v>66</v>
      </c>
      <c r="AZ5" s="38" t="s">
        <v>67</v>
      </c>
      <c r="BA5" s="38" t="s">
        <v>68</v>
      </c>
      <c r="BB5" s="39" t="s">
        <v>69</v>
      </c>
      <c r="BC5" s="40" t="s">
        <v>70</v>
      </c>
      <c r="BD5" s="41" t="s">
        <v>71</v>
      </c>
      <c r="BE5" s="42" t="s">
        <v>72</v>
      </c>
      <c r="BF5" s="42" t="s">
        <v>73</v>
      </c>
      <c r="BG5" s="42" t="s">
        <v>74</v>
      </c>
      <c r="BH5" s="42" t="s">
        <v>75</v>
      </c>
      <c r="BI5" s="42" t="s">
        <v>76</v>
      </c>
      <c r="BJ5" s="42" t="s">
        <v>77</v>
      </c>
      <c r="BK5" s="43" t="s">
        <v>78</v>
      </c>
      <c r="BL5" s="44" t="s">
        <v>79</v>
      </c>
      <c r="BM5" s="45" t="s">
        <v>80</v>
      </c>
      <c r="BN5" s="44" t="s">
        <v>81</v>
      </c>
      <c r="BO5" s="45" t="s">
        <v>82</v>
      </c>
      <c r="BP5" s="46" t="s">
        <v>83</v>
      </c>
      <c r="BQ5" s="47" t="s">
        <v>84</v>
      </c>
      <c r="BR5" s="48" t="s">
        <v>85</v>
      </c>
      <c r="BS5" s="49" t="s">
        <v>86</v>
      </c>
      <c r="BT5" s="49" t="s">
        <v>87</v>
      </c>
      <c r="BU5" s="49" t="s">
        <v>88</v>
      </c>
      <c r="BV5" s="49" t="s">
        <v>89</v>
      </c>
      <c r="BW5" s="49" t="s">
        <v>90</v>
      </c>
      <c r="BX5" s="49" t="s">
        <v>91</v>
      </c>
      <c r="BY5" s="48" t="s">
        <v>92</v>
      </c>
      <c r="BZ5" s="50" t="s">
        <v>93</v>
      </c>
      <c r="CA5" s="51" t="s">
        <v>94</v>
      </c>
      <c r="CB5" s="52" t="s">
        <v>95</v>
      </c>
      <c r="CC5" s="53" t="s">
        <v>96</v>
      </c>
      <c r="CD5" s="53" t="s">
        <v>97</v>
      </c>
      <c r="CE5" s="54" t="s">
        <v>98</v>
      </c>
      <c r="CF5" s="55" t="s">
        <v>99</v>
      </c>
      <c r="CG5" s="55" t="s">
        <v>100</v>
      </c>
      <c r="CH5" s="56" t="s">
        <v>101</v>
      </c>
      <c r="CI5" s="57" t="s">
        <v>102</v>
      </c>
      <c r="CJ5" s="57"/>
      <c r="CK5" s="58" t="s">
        <v>103</v>
      </c>
      <c r="CL5" s="58" t="s">
        <v>104</v>
      </c>
      <c r="CM5" s="59" t="s">
        <v>105</v>
      </c>
      <c r="CN5" s="60" t="s">
        <v>106</v>
      </c>
      <c r="CO5" s="26" t="s">
        <v>107</v>
      </c>
      <c r="CP5" s="60" t="s">
        <v>108</v>
      </c>
      <c r="CQ5" s="60" t="s">
        <v>109</v>
      </c>
      <c r="CR5" s="61" t="s">
        <v>110</v>
      </c>
      <c r="CS5" s="62" t="s">
        <v>111</v>
      </c>
      <c r="CT5" s="63" t="s">
        <v>112</v>
      </c>
      <c r="CU5" t="s">
        <v>141</v>
      </c>
      <c r="CV5" t="s">
        <v>142</v>
      </c>
      <c r="CW5" t="s">
        <v>143</v>
      </c>
    </row>
    <row r="6" ht="15.75" customHeight="1" spans="1:101" x14ac:dyDescent="0.25">
      <c r="A6" s="25">
        <v>1</v>
      </c>
      <c r="B6" s="64" t="s">
        <v>2</v>
      </c>
      <c r="C6" s="65" t="s">
        <v>113</v>
      </c>
      <c r="D6" s="66" t="s">
        <v>114</v>
      </c>
      <c r="E6" s="25"/>
      <c r="F6" s="67"/>
      <c r="G6" s="68"/>
      <c r="H6" s="69">
        <v>1</v>
      </c>
      <c r="I6" s="69" t="s">
        <v>115</v>
      </c>
      <c r="J6" s="69">
        <v>1</v>
      </c>
      <c r="K6" s="69">
        <v>1</v>
      </c>
      <c r="L6" s="69">
        <v>1</v>
      </c>
      <c r="M6" s="70" t="s">
        <v>116</v>
      </c>
      <c r="N6" s="69">
        <v>1</v>
      </c>
      <c r="O6" s="69" t="s">
        <v>117</v>
      </c>
      <c r="P6" s="69" t="s">
        <v>117</v>
      </c>
      <c r="Q6" s="69" t="s">
        <v>117</v>
      </c>
      <c r="R6" s="69">
        <v>0</v>
      </c>
      <c r="S6" s="69">
        <v>0</v>
      </c>
      <c r="T6" s="70" t="s">
        <v>116</v>
      </c>
      <c r="U6" s="69">
        <v>0</v>
      </c>
      <c r="V6" s="69">
        <v>0</v>
      </c>
      <c r="W6" s="69">
        <v>1</v>
      </c>
      <c r="X6" s="69">
        <v>1</v>
      </c>
      <c r="Y6" s="69">
        <v>1</v>
      </c>
      <c r="Z6" s="69">
        <v>1</v>
      </c>
      <c r="AA6" s="70" t="s">
        <v>116</v>
      </c>
      <c r="AB6" s="69">
        <v>1</v>
      </c>
      <c r="AC6" s="69">
        <v>1</v>
      </c>
      <c r="AD6" s="69">
        <v>1</v>
      </c>
      <c r="AE6" s="69">
        <v>1</v>
      </c>
      <c r="AF6" s="69">
        <v>1</v>
      </c>
      <c r="AG6" s="69">
        <v>1</v>
      </c>
      <c r="AH6" s="70" t="s">
        <v>116</v>
      </c>
      <c r="AI6" s="69">
        <v>1</v>
      </c>
      <c r="AJ6" s="69">
        <v>1</v>
      </c>
      <c r="AK6" s="69">
        <v>1</v>
      </c>
      <c r="AL6" s="71">
        <f>SUM(H6:AK6)</f>
        <v>18</v>
      </c>
      <c r="AM6" s="72">
        <f>COUNTIF(H6:AK6,$B$22)</f>
        <v>4</v>
      </c>
      <c r="AN6" s="72">
        <f>COUNTIF(H6:AK6,$B$23)</f>
        <v>1</v>
      </c>
      <c r="AO6" s="73">
        <f>(H$4)-AL6-AM6-AN6</f>
        <v>7</v>
      </c>
      <c r="AP6" s="74">
        <v>1</v>
      </c>
      <c r="AQ6" s="75">
        <v>1</v>
      </c>
      <c r="AR6" s="76">
        <f>AP6+AQ6</f>
        <v>2</v>
      </c>
      <c r="AS6" s="76">
        <f>AR6-AO6</f>
        <v>-5</v>
      </c>
      <c r="AT6" s="77">
        <v>24</v>
      </c>
      <c r="AU6" s="78">
        <f>(H$4)-AT6</f>
        <v>6</v>
      </c>
      <c r="AV6" s="79"/>
      <c r="AW6" s="80"/>
      <c r="AX6" s="81"/>
      <c r="AY6" s="82"/>
      <c r="AZ6" s="82"/>
      <c r="BA6" s="83"/>
      <c r="BB6" s="83"/>
      <c r="BC6" s="84" t="s">
        <v>118</v>
      </c>
      <c r="BD6" s="85"/>
      <c r="BE6" s="86">
        <v>20440</v>
      </c>
      <c r="BF6" s="87"/>
      <c r="BG6" s="87"/>
      <c r="BH6" s="87"/>
      <c r="BI6" s="87"/>
      <c r="BJ6" s="87"/>
      <c r="BK6" s="85">
        <f>IF(BE6&gt;BL6,BE6-BL6,0)</f>
      </c>
      <c r="BL6" s="88"/>
      <c r="BM6" s="85"/>
      <c r="BN6" s="89">
        <f>BA6+BB6</f>
      </c>
      <c r="BO6" s="90"/>
      <c r="BP6" s="91">
        <v>20440</v>
      </c>
      <c r="BQ6" s="92" t="s">
        <v>119</v>
      </c>
      <c r="BR6" s="93" t="s">
        <v>119</v>
      </c>
      <c r="BS6" s="94" t="s">
        <v>119</v>
      </c>
      <c r="BT6" s="95"/>
      <c r="BU6" s="95">
        <f>AT6</f>
      </c>
      <c r="BV6" s="96">
        <v>1800</v>
      </c>
      <c r="BW6" s="96">
        <v>140</v>
      </c>
      <c r="BX6" s="97">
        <f>BV6</f>
      </c>
      <c r="BY6" s="97">
        <f>BW6</f>
      </c>
      <c r="BZ6" s="98">
        <f>BP6-BX6-BY6</f>
      </c>
      <c r="CA6" s="99"/>
      <c r="CB6" s="99"/>
      <c r="CC6" s="94"/>
      <c r="CD6" s="94"/>
      <c r="CE6" s="94"/>
      <c r="CF6" s="94"/>
      <c r="CG6" s="94"/>
      <c r="CH6" s="100"/>
      <c r="CI6" s="94"/>
      <c r="CJ6" s="101"/>
      <c r="CK6" s="102"/>
      <c r="CL6" s="94"/>
      <c r="CM6" s="103">
        <v>1940</v>
      </c>
      <c r="CN6" s="104">
        <f>BP6-CM6</f>
      </c>
      <c r="CO6" s="94"/>
      <c r="CP6" s="94"/>
      <c r="CQ6" s="94">
        <f>CN6-CO6</f>
      </c>
      <c r="CR6" s="105">
        <v>18500</v>
      </c>
      <c r="CS6" s="106"/>
      <c r="CT6" s="107">
        <f>$H$4</f>
      </c>
      <c r="CU6" s="111">
        <f>CR6</f>
      </c>
      <c r="CV6" s="111">
        <f>MIN(MAX(0,CR6),15000)</f>
      </c>
      <c r="CW6" s="111">
        <f>MAX(0,CR6-CV6)</f>
      </c>
    </row>
    <row r="7" ht="15.75" customHeight="1" spans="1:101" x14ac:dyDescent="0.25">
      <c r="A7" s="25">
        <v>3</v>
      </c>
      <c r="B7" s="64" t="s">
        <v>2</v>
      </c>
      <c r="C7" s="65" t="s">
        <v>122</v>
      </c>
      <c r="D7" s="66" t="s">
        <v>123</v>
      </c>
      <c r="E7" s="25"/>
      <c r="F7" s="67"/>
      <c r="G7" s="68"/>
      <c r="H7" s="69">
        <v>1</v>
      </c>
      <c r="I7" s="69" t="s">
        <v>115</v>
      </c>
      <c r="J7" s="69">
        <v>1</v>
      </c>
      <c r="K7" s="69">
        <v>1</v>
      </c>
      <c r="L7" s="69">
        <v>1</v>
      </c>
      <c r="M7" s="70" t="s">
        <v>116</v>
      </c>
      <c r="N7" s="69">
        <v>1</v>
      </c>
      <c r="O7" s="69">
        <v>1</v>
      </c>
      <c r="P7" s="69">
        <v>1</v>
      </c>
      <c r="Q7" s="69">
        <v>1</v>
      </c>
      <c r="R7" s="69">
        <v>1</v>
      </c>
      <c r="S7" s="69">
        <v>1</v>
      </c>
      <c r="T7" s="70" t="s">
        <v>116</v>
      </c>
      <c r="U7" s="69">
        <v>1</v>
      </c>
      <c r="V7" s="69">
        <v>1</v>
      </c>
      <c r="W7" s="69">
        <v>1</v>
      </c>
      <c r="X7" s="69">
        <v>1</v>
      </c>
      <c r="Y7" s="69">
        <v>1</v>
      </c>
      <c r="Z7" s="69">
        <v>1</v>
      </c>
      <c r="AA7" s="70" t="s">
        <v>116</v>
      </c>
      <c r="AB7" s="69">
        <v>1</v>
      </c>
      <c r="AC7" s="69">
        <v>1</v>
      </c>
      <c r="AD7" s="69">
        <v>1</v>
      </c>
      <c r="AE7" s="69">
        <v>1</v>
      </c>
      <c r="AF7" s="69">
        <v>1</v>
      </c>
      <c r="AG7" s="69">
        <v>1</v>
      </c>
      <c r="AH7" s="70" t="s">
        <v>116</v>
      </c>
      <c r="AI7" s="69">
        <v>1</v>
      </c>
      <c r="AJ7" s="69">
        <v>1</v>
      </c>
      <c r="AK7" s="69">
        <v>1</v>
      </c>
      <c r="AL7" s="71">
        <f>SUM(H7:AK7)</f>
        <v>25</v>
      </c>
      <c r="AM7" s="72">
        <f>COUNTIF(H7:AK7,$B$22)</f>
        <v>4</v>
      </c>
      <c r="AN7" s="72">
        <f>COUNTIF(H7:AK7,$B$23)</f>
        <v>1</v>
      </c>
      <c r="AO7" s="73">
        <f>(H$4)-AL7-AM7-AN7</f>
        <v>0</v>
      </c>
      <c r="AP7" s="74">
        <v>2</v>
      </c>
      <c r="AQ7" s="75">
        <v>1</v>
      </c>
      <c r="AR7" s="76">
        <f>AP7+AQ7</f>
        <v>3</v>
      </c>
      <c r="AS7" s="76">
        <f>AR7-AO7</f>
        <v>3</v>
      </c>
      <c r="AT7" s="77">
        <v>30</v>
      </c>
      <c r="AU7" s="78">
        <f>(H$4)-AT7</f>
        <v>0</v>
      </c>
      <c r="AV7" s="79"/>
      <c r="AW7" s="80"/>
      <c r="AX7" s="81"/>
      <c r="AY7" s="82"/>
      <c r="AZ7" s="82"/>
      <c r="BA7" s="83"/>
      <c r="BB7" s="83"/>
      <c r="BC7" s="84" t="s">
        <v>118</v>
      </c>
      <c r="BD7" s="85"/>
      <c r="BE7" s="86">
        <v>46800</v>
      </c>
      <c r="BF7" s="87"/>
      <c r="BG7" s="87"/>
      <c r="BH7" s="87"/>
      <c r="BI7" s="87"/>
      <c r="BJ7" s="87"/>
      <c r="BK7" s="85">
        <f>IF(BE7&gt;BL7,BE7-BL7,0)</f>
      </c>
      <c r="BL7" s="88"/>
      <c r="BM7" s="85"/>
      <c r="BN7" s="89">
        <f>BA7+BB7</f>
      </c>
      <c r="BO7" s="90"/>
      <c r="BP7" s="91">
        <v>46800</v>
      </c>
      <c r="BQ7" s="92" t="s">
        <v>119</v>
      </c>
      <c r="BR7" s="93" t="s">
        <v>119</v>
      </c>
      <c r="BS7" s="94" t="s">
        <v>119</v>
      </c>
      <c r="BT7" s="95"/>
      <c r="BU7" s="95">
        <f>AT7</f>
      </c>
      <c r="BV7" s="96">
        <v>1800</v>
      </c>
      <c r="BW7" s="96"/>
      <c r="BX7" s="97">
        <f>BV7</f>
      </c>
      <c r="BY7" s="97">
        <f>BW7</f>
      </c>
      <c r="BZ7" s="98">
        <f>BP7-BX7-BY7</f>
      </c>
      <c r="CA7" s="99"/>
      <c r="CB7" s="99"/>
      <c r="CC7" s="94"/>
      <c r="CD7" s="94"/>
      <c r="CE7" s="94"/>
      <c r="CF7" s="94"/>
      <c r="CG7" s="94"/>
      <c r="CH7" s="100"/>
      <c r="CI7" s="94"/>
      <c r="CJ7" s="101"/>
      <c r="CK7" s="102"/>
      <c r="CL7" s="94"/>
      <c r="CM7" s="103">
        <v>1800</v>
      </c>
      <c r="CN7" s="104">
        <f>BP7-CM7</f>
      </c>
      <c r="CO7" s="94"/>
      <c r="CP7" s="94"/>
      <c r="CQ7" s="94">
        <f>CN7-CO7</f>
      </c>
      <c r="CR7" s="105">
        <v>45000</v>
      </c>
      <c r="CS7" s="106"/>
      <c r="CT7" s="107">
        <f>$H$4</f>
      </c>
      <c r="CU7" s="111">
        <f>CR7</f>
      </c>
      <c r="CV7" s="111">
        <f>MIN(MAX(0,CR7),25000)</f>
      </c>
      <c r="CW7" s="111">
        <f>MAX(0,CR7-CV7)</f>
      </c>
    </row>
    <row r="8" ht="15.75" customHeight="1" spans="1:101" x14ac:dyDescent="0.25">
      <c r="A8" s="25">
        <v>4</v>
      </c>
      <c r="B8" s="64" t="s">
        <v>2</v>
      </c>
      <c r="C8" s="65" t="s">
        <v>124</v>
      </c>
      <c r="D8" s="66" t="s">
        <v>125</v>
      </c>
      <c r="E8" s="25"/>
      <c r="F8" s="67"/>
      <c r="G8" s="68"/>
      <c r="H8" s="69">
        <v>1</v>
      </c>
      <c r="I8" s="69" t="s">
        <v>115</v>
      </c>
      <c r="J8" s="69">
        <v>0.5</v>
      </c>
      <c r="K8" s="69">
        <v>1</v>
      </c>
      <c r="L8" s="69">
        <v>1</v>
      </c>
      <c r="M8" s="70" t="s">
        <v>116</v>
      </c>
      <c r="N8" s="69">
        <v>1</v>
      </c>
      <c r="O8" s="69">
        <v>1</v>
      </c>
      <c r="P8" s="69">
        <v>1</v>
      </c>
      <c r="Q8" s="69">
        <v>1</v>
      </c>
      <c r="R8" s="69">
        <v>1</v>
      </c>
      <c r="S8" s="69">
        <v>1</v>
      </c>
      <c r="T8" s="70" t="s">
        <v>116</v>
      </c>
      <c r="U8" s="69">
        <v>1</v>
      </c>
      <c r="V8" s="69">
        <v>1</v>
      </c>
      <c r="W8" s="69">
        <v>1</v>
      </c>
      <c r="X8" s="69">
        <v>1</v>
      </c>
      <c r="Y8" s="69">
        <v>1</v>
      </c>
      <c r="Z8" s="69">
        <v>1</v>
      </c>
      <c r="AA8" s="70" t="s">
        <v>116</v>
      </c>
      <c r="AB8" s="69" t="s">
        <v>117</v>
      </c>
      <c r="AC8" s="69" t="s">
        <v>117</v>
      </c>
      <c r="AD8" s="69">
        <v>0</v>
      </c>
      <c r="AE8" s="69">
        <v>0</v>
      </c>
      <c r="AF8" s="69">
        <v>0</v>
      </c>
      <c r="AG8" s="69">
        <v>0</v>
      </c>
      <c r="AH8" s="70" t="s">
        <v>116</v>
      </c>
      <c r="AI8" s="69">
        <v>0</v>
      </c>
      <c r="AJ8" s="69">
        <v>0</v>
      </c>
      <c r="AK8" s="69">
        <v>0</v>
      </c>
      <c r="AL8" s="71">
        <f>SUM(H8:AK8)</f>
        <v>15.5</v>
      </c>
      <c r="AM8" s="72">
        <f>COUNTIF(H8:AK8,$B$22)</f>
        <v>4</v>
      </c>
      <c r="AN8" s="72">
        <f>COUNTIF(H8:AK8,$B$23)</f>
        <v>1</v>
      </c>
      <c r="AO8" s="73">
        <f>(H$4)-AL8-AM8-AN8</f>
        <v>9.5</v>
      </c>
      <c r="AP8" s="74">
        <v>1</v>
      </c>
      <c r="AQ8" s="75">
        <v>1</v>
      </c>
      <c r="AR8" s="76">
        <f>AP8+AQ8</f>
        <v>2</v>
      </c>
      <c r="AS8" s="76">
        <f>AR8-AO8</f>
        <v>-7.5</v>
      </c>
      <c r="AT8" s="77">
        <v>21.5</v>
      </c>
      <c r="AU8" s="78">
        <f>(H$4)-AT8</f>
        <v>8.5</v>
      </c>
      <c r="AV8" s="79"/>
      <c r="AW8" s="80"/>
      <c r="AX8" s="81"/>
      <c r="AY8" s="82"/>
      <c r="AZ8" s="82"/>
      <c r="BA8" s="83"/>
      <c r="BB8" s="83"/>
      <c r="BC8" s="84" t="s">
        <v>118</v>
      </c>
      <c r="BD8" s="85"/>
      <c r="BE8" s="86">
        <v>27800</v>
      </c>
      <c r="BF8" s="87"/>
      <c r="BG8" s="87"/>
      <c r="BH8" s="87"/>
      <c r="BI8" s="87"/>
      <c r="BJ8" s="87"/>
      <c r="BK8" s="85">
        <f>IF(BE8&gt;BL8,BE8-BL8,0)</f>
      </c>
      <c r="BL8" s="88"/>
      <c r="BM8" s="85"/>
      <c r="BN8" s="89">
        <f>BA8+BB8</f>
      </c>
      <c r="BO8" s="90"/>
      <c r="BP8" s="91">
        <v>27800</v>
      </c>
      <c r="BQ8" s="92" t="s">
        <v>119</v>
      </c>
      <c r="BR8" s="93" t="s">
        <v>119</v>
      </c>
      <c r="BS8" s="94" t="s">
        <v>119</v>
      </c>
      <c r="BT8" s="95"/>
      <c r="BU8" s="95">
        <f>AT8</f>
      </c>
      <c r="BV8" s="96">
        <v>1800</v>
      </c>
      <c r="BW8" s="96"/>
      <c r="BX8" s="97">
        <f>BV8</f>
      </c>
      <c r="BY8" s="97">
        <f>BW8</f>
      </c>
      <c r="BZ8" s="98">
        <f>BP8-BX8-BY8</f>
      </c>
      <c r="CA8" s="99"/>
      <c r="CB8" s="99"/>
      <c r="CC8" s="94"/>
      <c r="CD8" s="94"/>
      <c r="CE8" s="94"/>
      <c r="CF8" s="94"/>
      <c r="CG8" s="94"/>
      <c r="CH8" s="100"/>
      <c r="CI8" s="94"/>
      <c r="CJ8" s="101"/>
      <c r="CK8" s="102"/>
      <c r="CL8" s="94"/>
      <c r="CM8" s="103">
        <v>1800</v>
      </c>
      <c r="CN8" s="104">
        <f>BP8-CM8</f>
      </c>
      <c r="CO8" s="94"/>
      <c r="CP8" s="94"/>
      <c r="CQ8" s="94">
        <f>CN8-CO8</f>
      </c>
      <c r="CR8" s="105">
        <v>26000</v>
      </c>
      <c r="CS8" s="106"/>
      <c r="CT8" s="107">
        <f>$H$4</f>
      </c>
      <c r="CU8" s="111">
        <f>CR8</f>
      </c>
      <c r="CV8" s="111">
        <f>ROUND(MAX(0,CR8)*50%,2)</f>
      </c>
      <c r="CW8" s="111">
        <f>MAX(0,CR8-CV8)</f>
      </c>
    </row>
    <row r="9" ht="15.75" customHeight="1" spans="1:101" x14ac:dyDescent="0.25">
      <c r="A9" s="25">
        <v>5</v>
      </c>
      <c r="B9" s="64" t="s">
        <v>2</v>
      </c>
      <c r="C9" s="65" t="s">
        <v>144</v>
      </c>
      <c r="D9" s="66" t="s">
        <v>145</v>
      </c>
      <c r="E9" s="25"/>
      <c r="F9" s="67"/>
      <c r="G9" s="68"/>
      <c r="H9" s="69">
        <v>1</v>
      </c>
      <c r="I9" s="69" t="s">
        <v>115</v>
      </c>
      <c r="J9" s="69">
        <v>1</v>
      </c>
      <c r="K9" s="69">
        <v>1</v>
      </c>
      <c r="L9" s="69">
        <v>1</v>
      </c>
      <c r="M9" s="70" t="s">
        <v>116</v>
      </c>
      <c r="N9" s="69">
        <v>1</v>
      </c>
      <c r="O9" s="69">
        <v>1</v>
      </c>
      <c r="P9" s="69">
        <v>1</v>
      </c>
      <c r="Q9" s="69">
        <v>1</v>
      </c>
      <c r="R9" s="69">
        <v>1</v>
      </c>
      <c r="S9" s="69">
        <v>1</v>
      </c>
      <c r="T9" s="70" t="s">
        <v>116</v>
      </c>
      <c r="U9" s="69">
        <v>1</v>
      </c>
      <c r="V9" s="69">
        <v>1</v>
      </c>
      <c r="W9" s="69">
        <v>1</v>
      </c>
      <c r="X9" s="69" t="s">
        <v>117</v>
      </c>
      <c r="Y9" s="69">
        <v>0</v>
      </c>
      <c r="Z9" s="69">
        <v>1</v>
      </c>
      <c r="AA9" s="70" t="s">
        <v>116</v>
      </c>
      <c r="AB9" s="69">
        <v>1</v>
      </c>
      <c r="AC9" s="69">
        <v>1</v>
      </c>
      <c r="AD9" s="69">
        <v>1</v>
      </c>
      <c r="AE9" s="69">
        <v>1</v>
      </c>
      <c r="AF9" s="69">
        <v>1</v>
      </c>
      <c r="AG9" s="69">
        <v>1</v>
      </c>
      <c r="AH9" s="70" t="s">
        <v>116</v>
      </c>
      <c r="AI9" s="69">
        <v>1</v>
      </c>
      <c r="AJ9" s="69">
        <v>1</v>
      </c>
      <c r="AK9" s="69">
        <v>1</v>
      </c>
      <c r="AL9" s="71">
        <f>SUM(H9:AK9)</f>
        <v>23</v>
      </c>
      <c r="AM9" s="72">
        <f>COUNTIF(H9:AK9,$B$22)</f>
        <v>4</v>
      </c>
      <c r="AN9" s="72">
        <f>COUNTIF(H9:AK9,$B$23)</f>
        <v>1</v>
      </c>
      <c r="AO9" s="73">
        <f>(H$4)-AL9-AM9-AN9</f>
        <v>2</v>
      </c>
      <c r="AP9" s="74">
        <v>1</v>
      </c>
      <c r="AQ9" s="75">
        <v>1</v>
      </c>
      <c r="AR9" s="76">
        <f>AP9+AQ9</f>
        <v>2</v>
      </c>
      <c r="AS9" s="76">
        <f>AR9-AO9</f>
        <v>0</v>
      </c>
      <c r="AT9" s="77">
        <v>29</v>
      </c>
      <c r="AU9" s="78">
        <f>(H$4)-AT9</f>
        <v>1</v>
      </c>
      <c r="AV9" s="79"/>
      <c r="AW9" s="80"/>
      <c r="AX9" s="81"/>
      <c r="AY9" s="82"/>
      <c r="AZ9" s="82"/>
      <c r="BA9" s="83"/>
      <c r="BB9" s="83"/>
      <c r="BC9" s="84" t="s">
        <v>118</v>
      </c>
      <c r="BD9" s="85"/>
      <c r="BE9" s="86">
        <v>12000</v>
      </c>
      <c r="BF9" s="87"/>
      <c r="BG9" s="87"/>
      <c r="BH9" s="87"/>
      <c r="BI9" s="87"/>
      <c r="BJ9" s="87"/>
      <c r="BK9" s="85">
        <f>IF(BE9&gt;BL9,BE9-BL9,0)</f>
      </c>
      <c r="BL9" s="88"/>
      <c r="BM9" s="85"/>
      <c r="BN9" s="89">
        <f>BA9+BB9</f>
      </c>
      <c r="BO9" s="90"/>
      <c r="BP9" s="91">
        <v>12000</v>
      </c>
      <c r="BQ9" s="92" t="s">
        <v>119</v>
      </c>
      <c r="BR9" s="93" t="s">
        <v>119</v>
      </c>
      <c r="BS9" s="94" t="s">
        <v>119</v>
      </c>
      <c r="BT9" s="95"/>
      <c r="BU9" s="95">
        <f>AT9</f>
      </c>
      <c r="BV9" s="96"/>
      <c r="BW9" s="96"/>
      <c r="BX9" s="97">
        <f>BV9</f>
      </c>
      <c r="BY9" s="97">
        <f>BW9</f>
      </c>
      <c r="BZ9" s="98">
        <f>BP9-BX9-BY9</f>
      </c>
      <c r="CA9" s="99"/>
      <c r="CB9" s="99"/>
      <c r="CC9" s="94"/>
      <c r="CD9" s="94"/>
      <c r="CE9" s="94"/>
      <c r="CF9" s="94"/>
      <c r="CG9" s="94"/>
      <c r="CH9" s="100"/>
      <c r="CI9" s="94"/>
      <c r="CJ9" s="101"/>
      <c r="CK9" s="102"/>
      <c r="CL9" s="94"/>
      <c r="CM9" s="103">
        <v>0</v>
      </c>
      <c r="CN9" s="104">
        <f>BP9-CM9</f>
      </c>
      <c r="CO9" s="94"/>
      <c r="CP9" s="94"/>
      <c r="CQ9" s="94">
        <f>CN9-CO9</f>
      </c>
      <c r="CR9" s="105">
        <v>12000</v>
      </c>
      <c r="CS9" s="106"/>
      <c r="CT9" s="107">
        <f>$H$4</f>
      </c>
      <c r="CU9" s="111">
        <f>CR9</f>
      </c>
      <c r="CV9" s="111">
        <f>0</f>
      </c>
      <c r="CW9" s="111">
        <f>MAX(0,CR9-CV9)</f>
      </c>
    </row>
    <row r="10" spans="99:101" x14ac:dyDescent="0.25">
      <c r="CU10" s="112">
        <f>SUM(CU6:CU9)</f>
      </c>
      <c r="CV10" s="112">
        <f>SUM(CV6:CV9)</f>
      </c>
      <c r="CW10" s="112">
        <f>SUM(CW6:CW9)</f>
      </c>
    </row>
    <row r="14" spans="2:2" x14ac:dyDescent="0.25">
      <c r="B14" s="108" t="s">
        <v>126</v>
      </c>
    </row>
    <row r="15" spans="4:4" x14ac:dyDescent="0.25">
      <c r="D15" t="s">
        <v>127</v>
      </c>
    </row>
    <row r="16" spans="4:4" x14ac:dyDescent="0.25">
      <c r="D16" t="s">
        <v>128</v>
      </c>
    </row>
    <row r="17" spans="4:4" x14ac:dyDescent="0.25">
      <c r="D17" t="s">
        <v>129</v>
      </c>
    </row>
    <row r="18" spans="4:4" x14ac:dyDescent="0.25">
      <c r="D18" t="s">
        <v>130</v>
      </c>
    </row>
    <row r="19" spans="2:4" x14ac:dyDescent="0.25">
      <c r="B19" s="108">
        <v>1</v>
      </c>
      <c r="D19" t="s">
        <v>131</v>
      </c>
    </row>
    <row r="20" spans="2:4" x14ac:dyDescent="0.25">
      <c r="B20" s="108">
        <v>0.5</v>
      </c>
      <c r="D20" t="s">
        <v>132</v>
      </c>
    </row>
    <row r="21" spans="2:4" x14ac:dyDescent="0.25">
      <c r="B21" s="108" t="s">
        <v>117</v>
      </c>
      <c r="D21" t="s">
        <v>133</v>
      </c>
    </row>
    <row r="22" spans="2:4" x14ac:dyDescent="0.25">
      <c r="B22" s="108" t="s">
        <v>116</v>
      </c>
      <c r="D22" t="s">
        <v>134</v>
      </c>
    </row>
    <row r="23" spans="2:4" x14ac:dyDescent="0.25">
      <c r="B23" s="108" t="s">
        <v>115</v>
      </c>
      <c r="D23" t="s">
        <v>135</v>
      </c>
    </row>
    <row r="24" spans="4:4" x14ac:dyDescent="0.25">
      <c r="D24" t="s">
        <v>136</v>
      </c>
    </row>
    <row r="25" spans="4:4" x14ac:dyDescent="0.25">
      <c r="D25" t="s">
        <v>137</v>
      </c>
    </row>
    <row r="26" spans="4:4" x14ac:dyDescent="0.25">
      <c r="D26" t="s">
        <v>138</v>
      </c>
    </row>
  </sheetData>
  <mergeCells count="10">
    <mergeCell ref="CU1:CW1"/>
    <mergeCell ref="I3:AU3"/>
    <mergeCell ref="BC3:BZ3"/>
    <mergeCell ref="CU3:CW3"/>
    <mergeCell ref="AL4:AU4"/>
    <mergeCell ref="AV4:BB4"/>
    <mergeCell ref="BC4:BP4"/>
    <mergeCell ref="BQ4:BY4"/>
    <mergeCell ref="CA4:CH4"/>
    <mergeCell ref="CM4:CR4"/>
  </mergeCells>
  <conditionalFormatting sqref="H6:AK9">
    <cfRule type="containsText" dxfId="2" priority="1">
      <formula>NOT(ISERROR(SEARCH("H",H6)))</formula>
    </cfRule>
    <cfRule type="containsText" dxfId="3" priority="2">
      <formula>NOT(ISERROR(SEARCH("L",H6)))</formula>
    </cfRule>
  </conditionalFormatting>
  <dataValidations count="2">
    <dataValidation type="list" allowBlank="1" sqref="AA6:AK9">
      <formula1>$B$19:$B$23</formula1>
    </dataValidation>
    <dataValidation type="list" allowBlank="1" sqref="H6:AK9">
      <formula1>$B$19:$B$23</formula1>
    </dataValidation>
  </dataValidations>
  <pageMargins left="0.7" right="0.7" top="0.75" bottom="0.75" header="0.3" footer="0.3"/>
  <pageSetup paperSize="8"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W26"/>
  <sheetViews>
    <sheetView workbookViewId="0" zoomScale="100">
      <pane xSplit="7" ySplit="5" topLeftCell="H6" activePane="bottomRight" state="frozen"/>
      <selection pane="bottomRight"/>
    </sheetView>
  </sheetViews>
  <sheetFormatPr defaultRowHeight="15" outlineLevelRow="0" outlineLevelCol="0" x14ac:dyDescent="55"/>
  <cols>
    <col min="1" max="1" width="3.43" customWidth="1"/>
    <col min="2" max="2" width="10.86" customWidth="1"/>
    <col min="3" max="3" width="12.43" customWidth="1"/>
    <col min="4" max="4" width="20.57" customWidth="1"/>
    <col min="5" max="5" width="3.57" hidden="1" customWidth="1"/>
    <col min="6" max="6" width="4.86" hidden="1" customWidth="1"/>
    <col min="7" max="7" width="4.43" hidden="1" customWidth="1"/>
    <col min="8" max="37" width="5.43" customWidth="1"/>
    <col min="38" max="38" width="7.14" customWidth="1"/>
    <col min="39" max="40" width="4.43" customWidth="1"/>
    <col min="41" max="41" width="6.71" customWidth="1"/>
    <col min="42" max="42" width="5.43" customWidth="1"/>
    <col min="43" max="43" width="6.57" customWidth="1"/>
    <col min="44" max="44" width="5" customWidth="1"/>
    <col min="45" max="45" width="7.14" customWidth="1"/>
    <col min="46" max="46" width="8" customWidth="1"/>
    <col min="47" max="47" width="6.71" customWidth="1"/>
    <col min="48" max="48" width="8.71" customWidth="1"/>
    <col min="49" max="49" width="6.71" customWidth="1"/>
    <col min="50" max="50" width="8.43" customWidth="1"/>
    <col min="51" max="51" width="5.29" customWidth="1"/>
    <col min="52" max="52" width="8" customWidth="1"/>
    <col min="53" max="53" width="9.29" customWidth="1"/>
    <col min="54" max="54" width="10" customWidth="1"/>
    <col min="55" max="56" width="8" customWidth="1"/>
    <col min="57" max="57" width="11.43" customWidth="1"/>
    <col min="58" max="58" width="7.43" hidden="1" customWidth="1"/>
    <col min="59" max="59" width="7.86" hidden="1" customWidth="1"/>
    <col min="60" max="60" width="7.14" hidden="1" customWidth="1"/>
    <col min="61" max="61" width="2" hidden="1" customWidth="1"/>
    <col min="62" max="62" width="0.71" hidden="1" customWidth="1"/>
    <col min="63" max="63" width="11.71" customWidth="1"/>
    <col min="64" max="64" width="11.57" customWidth="1"/>
    <col min="65" max="65" width="10.29" customWidth="1"/>
    <col min="66" max="67" width="10.86" customWidth="1"/>
    <col min="68" max="68" width="12" customWidth="1"/>
    <col min="69" max="69" width="6.14" customWidth="1"/>
    <col min="70" max="73" width="8" customWidth="1"/>
    <col min="74" max="74" width="8.57" customWidth="1"/>
    <col min="75" max="77" width="8" customWidth="1"/>
    <col min="78" max="78" width="12.71" customWidth="1"/>
    <col min="79" max="79" width="12.29" customWidth="1"/>
    <col min="80" max="80" width="11.14" customWidth="1"/>
    <col min="81" max="83" width="10.29" customWidth="1"/>
    <col min="84" max="84" width="10" customWidth="1"/>
    <col min="85" max="85" width="9.57" customWidth="1"/>
    <col min="86" max="86" width="10.86" customWidth="1"/>
    <col min="87" max="87" width="8" customWidth="1"/>
    <col min="88" max="88" width="0.71" customWidth="1"/>
    <col min="89" max="89" width="10.86" customWidth="1"/>
    <col min="90" max="90" width="9.43" customWidth="1"/>
    <col min="91" max="91" width="10.57" customWidth="1"/>
    <col min="92" max="92" width="13.14" customWidth="1"/>
    <col min="93" max="93" width="11.43" customWidth="1"/>
    <col min="94" max="94" width="10.14" customWidth="1"/>
    <col min="95" max="95" width="11.57" customWidth="1"/>
    <col min="96" max="96" width="12.43" customWidth="1"/>
    <col min="97" max="97" width="14.71" hidden="1" customWidth="1"/>
    <col min="98" max="98" width="0.86" customWidth="1"/>
    <col min="99" max="101" width="18" customWidth="1"/>
  </cols>
  <sheetData>
    <row r="1" ht="18.75" customHeight="1" spans="1:101" x14ac:dyDescent="0.25">
      <c r="A1" s="1"/>
      <c r="B1" s="2" t="s">
        <v>0</v>
      </c>
      <c r="C1" s="2"/>
      <c r="D1" s="3"/>
      <c r="E1" s="2"/>
      <c r="F1" s="2"/>
      <c r="G1" s="2"/>
      <c r="H1" s="2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6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09" t="s">
        <v>139</v>
      </c>
      <c r="CV1" s="109"/>
      <c r="CW1" s="109"/>
    </row>
    <row r="2" ht="15.75" customHeight="1" spans="1:100" x14ac:dyDescent="0.25">
      <c r="A2" s="1"/>
      <c r="B2" s="7" t="s">
        <v>1</v>
      </c>
      <c r="C2" s="8" t="s">
        <v>2</v>
      </c>
      <c r="D2" s="8"/>
      <c r="E2" s="8"/>
      <c r="F2" s="8"/>
      <c r="G2" s="8"/>
      <c r="H2" s="9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6"/>
      <c r="BF2" s="6"/>
      <c r="BG2" s="6"/>
      <c r="BH2" s="6"/>
      <c r="BI2" s="6"/>
      <c r="BJ2" s="6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13" t="s">
        <v>146</v>
      </c>
      <c r="CV2" s="114">
        <v>20000</v>
      </c>
    </row>
    <row r="3" ht="30" customHeight="1" spans="1:101" x14ac:dyDescent="0.25">
      <c r="A3" s="1"/>
      <c r="B3" s="7" t="s">
        <v>3</v>
      </c>
      <c r="C3" s="8" t="s">
        <v>4</v>
      </c>
      <c r="D3" s="8"/>
      <c r="E3" s="8"/>
      <c r="F3" s="8"/>
      <c r="G3" s="8"/>
      <c r="H3" s="9"/>
      <c r="I3" s="10" t="s">
        <v>5</v>
      </c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"/>
      <c r="AW3" s="1"/>
      <c r="AX3" s="1"/>
      <c r="AY3" s="1"/>
      <c r="AZ3" s="1"/>
      <c r="BA3" s="1"/>
      <c r="BB3" s="1"/>
      <c r="BC3" s="11" t="s">
        <v>5</v>
      </c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10" t="s">
        <v>147</v>
      </c>
      <c r="CV3" s="110"/>
      <c r="CW3" s="110"/>
    </row>
    <row r="4" ht="21.75" customHeight="1" spans="1:98" x14ac:dyDescent="0.25">
      <c r="A4" s="1"/>
      <c r="B4" s="7" t="s">
        <v>6</v>
      </c>
      <c r="C4" s="12">
        <v>46266</v>
      </c>
      <c r="D4" s="13" t="s">
        <v>7</v>
      </c>
      <c r="E4" s="14"/>
      <c r="F4" s="14" t="s">
        <v>8</v>
      </c>
      <c r="G4" s="14"/>
      <c r="H4" s="15">
        <v>30</v>
      </c>
      <c r="I4" s="1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7" t="s">
        <v>9</v>
      </c>
      <c r="AM4" s="17"/>
      <c r="AN4" s="17"/>
      <c r="AO4" s="17"/>
      <c r="AP4" s="17"/>
      <c r="AQ4" s="17"/>
      <c r="AR4" s="17"/>
      <c r="AS4" s="17"/>
      <c r="AT4" s="17"/>
      <c r="AU4" s="17"/>
      <c r="AV4" s="18" t="s">
        <v>10</v>
      </c>
      <c r="AW4" s="18"/>
      <c r="AX4" s="18"/>
      <c r="AY4" s="18"/>
      <c r="AZ4" s="18"/>
      <c r="BA4" s="18"/>
      <c r="BB4" s="18"/>
      <c r="BC4" s="19" t="s">
        <v>11</v>
      </c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20" t="s">
        <v>12</v>
      </c>
      <c r="BR4" s="20"/>
      <c r="BS4" s="20"/>
      <c r="BT4" s="20"/>
      <c r="BU4" s="20"/>
      <c r="BV4" s="20"/>
      <c r="BW4" s="20"/>
      <c r="BX4" s="20"/>
      <c r="BY4" s="20"/>
      <c r="BZ4" s="21"/>
      <c r="CA4" s="22" t="s">
        <v>13</v>
      </c>
      <c r="CB4" s="22"/>
      <c r="CC4" s="22"/>
      <c r="CD4" s="22"/>
      <c r="CE4" s="22"/>
      <c r="CF4" s="22"/>
      <c r="CG4" s="22"/>
      <c r="CH4" s="22"/>
      <c r="CI4" s="23" t="s">
        <v>14</v>
      </c>
      <c r="CJ4" s="23"/>
      <c r="CK4" s="23"/>
      <c r="CL4" s="23"/>
      <c r="CM4" s="24" t="s">
        <v>15</v>
      </c>
      <c r="CN4" s="24"/>
      <c r="CO4" s="24"/>
      <c r="CP4" s="24"/>
      <c r="CQ4" s="24"/>
      <c r="CR4" s="24"/>
      <c r="CS4" s="1"/>
      <c r="CT4" s="1"/>
    </row>
    <row r="5" ht="76.5" customHeight="1" spans="1:101" x14ac:dyDescent="0.25">
      <c r="A5" s="25" t="s">
        <v>16</v>
      </c>
      <c r="B5" s="26" t="s">
        <v>17</v>
      </c>
      <c r="C5" s="27" t="s">
        <v>18</v>
      </c>
      <c r="D5" s="28" t="s">
        <v>19</v>
      </c>
      <c r="E5" s="27" t="s">
        <v>20</v>
      </c>
      <c r="F5" s="27" t="s">
        <v>21</v>
      </c>
      <c r="G5" s="27" t="s">
        <v>22</v>
      </c>
      <c r="H5" s="29" t="s">
        <v>23</v>
      </c>
      <c r="I5" s="30" t="s">
        <v>24</v>
      </c>
      <c r="J5" s="31" t="s">
        <v>25</v>
      </c>
      <c r="K5" s="31" t="s">
        <v>26</v>
      </c>
      <c r="L5" s="31" t="s">
        <v>27</v>
      </c>
      <c r="M5" s="31" t="s">
        <v>28</v>
      </c>
      <c r="N5" s="31" t="s">
        <v>29</v>
      </c>
      <c r="O5" s="31" t="s">
        <v>30</v>
      </c>
      <c r="P5" s="31" t="s">
        <v>31</v>
      </c>
      <c r="Q5" s="31" t="s">
        <v>32</v>
      </c>
      <c r="R5" s="31" t="s">
        <v>33</v>
      </c>
      <c r="S5" s="31" t="s">
        <v>34</v>
      </c>
      <c r="T5" s="31" t="s">
        <v>35</v>
      </c>
      <c r="U5" s="31" t="s">
        <v>36</v>
      </c>
      <c r="V5" s="32" t="s">
        <v>37</v>
      </c>
      <c r="W5" s="31" t="s">
        <v>38</v>
      </c>
      <c r="X5" s="31" t="s">
        <v>39</v>
      </c>
      <c r="Y5" s="31" t="s">
        <v>40</v>
      </c>
      <c r="Z5" s="31" t="s">
        <v>41</v>
      </c>
      <c r="AA5" s="31" t="s">
        <v>42</v>
      </c>
      <c r="AB5" s="31" t="s">
        <v>43</v>
      </c>
      <c r="AC5" s="31" t="s">
        <v>44</v>
      </c>
      <c r="AD5" s="31" t="s">
        <v>45</v>
      </c>
      <c r="AE5" s="31" t="s">
        <v>46</v>
      </c>
      <c r="AF5" s="31" t="s">
        <v>47</v>
      </c>
      <c r="AG5" s="31" t="s">
        <v>48</v>
      </c>
      <c r="AH5" s="33" t="s">
        <v>49</v>
      </c>
      <c r="AI5" s="33" t="s">
        <v>50</v>
      </c>
      <c r="AJ5" s="33" t="s">
        <v>51</v>
      </c>
      <c r="AK5" s="33" t="s">
        <v>52</v>
      </c>
      <c r="AL5" s="34" t="s">
        <v>53</v>
      </c>
      <c r="AM5" s="35" t="s">
        <v>54</v>
      </c>
      <c r="AN5" s="35" t="s">
        <v>55</v>
      </c>
      <c r="AO5" s="35" t="s">
        <v>56</v>
      </c>
      <c r="AP5" s="35" t="s">
        <v>57</v>
      </c>
      <c r="AQ5" s="35" t="s">
        <v>58</v>
      </c>
      <c r="AR5" s="35" t="s">
        <v>59</v>
      </c>
      <c r="AS5" s="35" t="s">
        <v>60</v>
      </c>
      <c r="AT5" s="35" t="s">
        <v>61</v>
      </c>
      <c r="AU5" s="36" t="s">
        <v>62</v>
      </c>
      <c r="AV5" s="37" t="s">
        <v>63</v>
      </c>
      <c r="AW5" s="38" t="s">
        <v>64</v>
      </c>
      <c r="AX5" s="38" t="s">
        <v>65</v>
      </c>
      <c r="AY5" s="38" t="s">
        <v>66</v>
      </c>
      <c r="AZ5" s="38" t="s">
        <v>67</v>
      </c>
      <c r="BA5" s="38" t="s">
        <v>68</v>
      </c>
      <c r="BB5" s="39" t="s">
        <v>69</v>
      </c>
      <c r="BC5" s="40" t="s">
        <v>70</v>
      </c>
      <c r="BD5" s="41" t="s">
        <v>71</v>
      </c>
      <c r="BE5" s="42" t="s">
        <v>72</v>
      </c>
      <c r="BF5" s="42" t="s">
        <v>73</v>
      </c>
      <c r="BG5" s="42" t="s">
        <v>74</v>
      </c>
      <c r="BH5" s="42" t="s">
        <v>75</v>
      </c>
      <c r="BI5" s="42" t="s">
        <v>76</v>
      </c>
      <c r="BJ5" s="42" t="s">
        <v>77</v>
      </c>
      <c r="BK5" s="43" t="s">
        <v>78</v>
      </c>
      <c r="BL5" s="44" t="s">
        <v>79</v>
      </c>
      <c r="BM5" s="45" t="s">
        <v>80</v>
      </c>
      <c r="BN5" s="44" t="s">
        <v>81</v>
      </c>
      <c r="BO5" s="45" t="s">
        <v>82</v>
      </c>
      <c r="BP5" s="46" t="s">
        <v>83</v>
      </c>
      <c r="BQ5" s="47" t="s">
        <v>84</v>
      </c>
      <c r="BR5" s="48" t="s">
        <v>85</v>
      </c>
      <c r="BS5" s="49" t="s">
        <v>86</v>
      </c>
      <c r="BT5" s="49" t="s">
        <v>87</v>
      </c>
      <c r="BU5" s="49" t="s">
        <v>88</v>
      </c>
      <c r="BV5" s="49" t="s">
        <v>89</v>
      </c>
      <c r="BW5" s="49" t="s">
        <v>90</v>
      </c>
      <c r="BX5" s="49" t="s">
        <v>91</v>
      </c>
      <c r="BY5" s="48" t="s">
        <v>92</v>
      </c>
      <c r="BZ5" s="50" t="s">
        <v>93</v>
      </c>
      <c r="CA5" s="51" t="s">
        <v>94</v>
      </c>
      <c r="CB5" s="52" t="s">
        <v>95</v>
      </c>
      <c r="CC5" s="53" t="s">
        <v>96</v>
      </c>
      <c r="CD5" s="53" t="s">
        <v>97</v>
      </c>
      <c r="CE5" s="54" t="s">
        <v>98</v>
      </c>
      <c r="CF5" s="55" t="s">
        <v>99</v>
      </c>
      <c r="CG5" s="55" t="s">
        <v>100</v>
      </c>
      <c r="CH5" s="56" t="s">
        <v>101</v>
      </c>
      <c r="CI5" s="57" t="s">
        <v>102</v>
      </c>
      <c r="CJ5" s="57"/>
      <c r="CK5" s="58" t="s">
        <v>103</v>
      </c>
      <c r="CL5" s="58" t="s">
        <v>104</v>
      </c>
      <c r="CM5" s="59" t="s">
        <v>105</v>
      </c>
      <c r="CN5" s="60" t="s">
        <v>106</v>
      </c>
      <c r="CO5" s="26" t="s">
        <v>107</v>
      </c>
      <c r="CP5" s="60" t="s">
        <v>108</v>
      </c>
      <c r="CQ5" s="60" t="s">
        <v>109</v>
      </c>
      <c r="CR5" s="61" t="s">
        <v>110</v>
      </c>
      <c r="CS5" s="62" t="s">
        <v>111</v>
      </c>
      <c r="CT5" s="63" t="s">
        <v>112</v>
      </c>
      <c r="CU5" t="s">
        <v>141</v>
      </c>
      <c r="CV5" t="s">
        <v>142</v>
      </c>
      <c r="CW5" t="s">
        <v>148</v>
      </c>
    </row>
    <row r="6" ht="15.75" customHeight="1" spans="1:101" x14ac:dyDescent="0.25">
      <c r="A6" s="25">
        <v>1</v>
      </c>
      <c r="B6" s="64" t="s">
        <v>2</v>
      </c>
      <c r="C6" s="65" t="s">
        <v>113</v>
      </c>
      <c r="D6" s="66" t="s">
        <v>114</v>
      </c>
      <c r="E6" s="25"/>
      <c r="F6" s="67"/>
      <c r="G6" s="68"/>
      <c r="H6" s="69">
        <v>1</v>
      </c>
      <c r="I6" s="69" t="s">
        <v>115</v>
      </c>
      <c r="J6" s="69">
        <v>1</v>
      </c>
      <c r="K6" s="69">
        <v>1</v>
      </c>
      <c r="L6" s="69">
        <v>1</v>
      </c>
      <c r="M6" s="70" t="s">
        <v>116</v>
      </c>
      <c r="N6" s="69">
        <v>1</v>
      </c>
      <c r="O6" s="69" t="s">
        <v>117</v>
      </c>
      <c r="P6" s="69" t="s">
        <v>117</v>
      </c>
      <c r="Q6" s="69" t="s">
        <v>117</v>
      </c>
      <c r="R6" s="69">
        <v>0</v>
      </c>
      <c r="S6" s="69">
        <v>0</v>
      </c>
      <c r="T6" s="70" t="s">
        <v>116</v>
      </c>
      <c r="U6" s="69">
        <v>0</v>
      </c>
      <c r="V6" s="69">
        <v>0</v>
      </c>
      <c r="W6" s="69">
        <v>1</v>
      </c>
      <c r="X6" s="69">
        <v>1</v>
      </c>
      <c r="Y6" s="69">
        <v>1</v>
      </c>
      <c r="Z6" s="69">
        <v>1</v>
      </c>
      <c r="AA6" s="70" t="s">
        <v>116</v>
      </c>
      <c r="AB6" s="69">
        <v>1</v>
      </c>
      <c r="AC6" s="69">
        <v>1</v>
      </c>
      <c r="AD6" s="69">
        <v>1</v>
      </c>
      <c r="AE6" s="69">
        <v>1</v>
      </c>
      <c r="AF6" s="69">
        <v>1</v>
      </c>
      <c r="AG6" s="69">
        <v>1</v>
      </c>
      <c r="AH6" s="70" t="s">
        <v>116</v>
      </c>
      <c r="AI6" s="69">
        <v>1</v>
      </c>
      <c r="AJ6" s="69">
        <v>1</v>
      </c>
      <c r="AK6" s="69">
        <v>1</v>
      </c>
      <c r="AL6" s="71">
        <f>SUM(H6:AK6)</f>
        <v>18</v>
      </c>
      <c r="AM6" s="72">
        <f>COUNTIF(H6:AK6,$B$22)</f>
        <v>4</v>
      </c>
      <c r="AN6" s="72">
        <f>COUNTIF(H6:AK6,$B$23)</f>
        <v>1</v>
      </c>
      <c r="AO6" s="73">
        <f>(H$4)-AL6-AM6-AN6</f>
        <v>7</v>
      </c>
      <c r="AP6" s="74">
        <v>1</v>
      </c>
      <c r="AQ6" s="75">
        <v>1</v>
      </c>
      <c r="AR6" s="76">
        <f>AP6+AQ6</f>
        <v>2</v>
      </c>
      <c r="AS6" s="76">
        <f>AR6-AO6</f>
        <v>-5</v>
      </c>
      <c r="AT6" s="77">
        <v>24</v>
      </c>
      <c r="AU6" s="78">
        <f>(H$4)-AT6</f>
        <v>6</v>
      </c>
      <c r="AV6" s="79"/>
      <c r="AW6" s="80"/>
      <c r="AX6" s="81"/>
      <c r="AY6" s="82"/>
      <c r="AZ6" s="82"/>
      <c r="BA6" s="83"/>
      <c r="BB6" s="83"/>
      <c r="BC6" s="84" t="s">
        <v>118</v>
      </c>
      <c r="BD6" s="85"/>
      <c r="BE6" s="86">
        <v>20440</v>
      </c>
      <c r="BF6" s="87"/>
      <c r="BG6" s="87"/>
      <c r="BH6" s="87"/>
      <c r="BI6" s="87"/>
      <c r="BJ6" s="87"/>
      <c r="BK6" s="85">
        <f>IF(BE6&gt;BL6,BE6-BL6,0)</f>
      </c>
      <c r="BL6" s="88"/>
      <c r="BM6" s="85"/>
      <c r="BN6" s="89">
        <f>BA6+BB6</f>
      </c>
      <c r="BO6" s="90"/>
      <c r="BP6" s="91">
        <v>20440</v>
      </c>
      <c r="BQ6" s="92" t="s">
        <v>119</v>
      </c>
      <c r="BR6" s="93" t="s">
        <v>119</v>
      </c>
      <c r="BS6" s="94" t="s">
        <v>119</v>
      </c>
      <c r="BT6" s="95"/>
      <c r="BU6" s="95">
        <f>AT6</f>
      </c>
      <c r="BV6" s="96">
        <v>1800</v>
      </c>
      <c r="BW6" s="96">
        <v>140</v>
      </c>
      <c r="BX6" s="97">
        <f>BV6</f>
      </c>
      <c r="BY6" s="97">
        <f>BW6</f>
      </c>
      <c r="BZ6" s="98">
        <f>BP6-BX6-BY6</f>
      </c>
      <c r="CA6" s="99"/>
      <c r="CB6" s="99"/>
      <c r="CC6" s="94"/>
      <c r="CD6" s="94"/>
      <c r="CE6" s="94"/>
      <c r="CF6" s="94"/>
      <c r="CG6" s="94"/>
      <c r="CH6" s="100"/>
      <c r="CI6" s="94"/>
      <c r="CJ6" s="101"/>
      <c r="CK6" s="102"/>
      <c r="CL6" s="94"/>
      <c r="CM6" s="103">
        <v>1940</v>
      </c>
      <c r="CN6" s="104">
        <f>BP6-CM6</f>
      </c>
      <c r="CO6" s="94"/>
      <c r="CP6" s="94"/>
      <c r="CQ6" s="94">
        <f>CN6-CO6</f>
      </c>
      <c r="CR6" s="105">
        <v>18500</v>
      </c>
      <c r="CS6" s="106"/>
      <c r="CT6" s="107">
        <f>$H$4</f>
      </c>
      <c r="CU6" s="111">
        <f>CR6</f>
      </c>
      <c r="CV6" s="111">
        <f>MIN(MAX(0,CR6),15000)</f>
      </c>
      <c r="CW6" s="111">
        <f>MAX(0,CR6-CV6)</f>
      </c>
    </row>
    <row r="7" ht="15.75" customHeight="1" spans="1:101" x14ac:dyDescent="0.25">
      <c r="A7" s="25">
        <v>2</v>
      </c>
      <c r="B7" s="64" t="s">
        <v>2</v>
      </c>
      <c r="C7" s="65" t="s">
        <v>120</v>
      </c>
      <c r="D7" s="66" t="s">
        <v>121</v>
      </c>
      <c r="E7" s="25"/>
      <c r="F7" s="67"/>
      <c r="G7" s="68"/>
      <c r="H7" s="69">
        <v>1</v>
      </c>
      <c r="I7" s="69" t="s">
        <v>115</v>
      </c>
      <c r="J7" s="69">
        <v>1</v>
      </c>
      <c r="K7" s="69">
        <v>1</v>
      </c>
      <c r="L7" s="69">
        <v>1</v>
      </c>
      <c r="M7" s="70" t="s">
        <v>116</v>
      </c>
      <c r="N7" s="69">
        <v>1</v>
      </c>
      <c r="O7" s="69">
        <v>1</v>
      </c>
      <c r="P7" s="69">
        <v>1</v>
      </c>
      <c r="Q7" s="69">
        <v>1</v>
      </c>
      <c r="R7" s="69">
        <v>1</v>
      </c>
      <c r="S7" s="69">
        <v>1</v>
      </c>
      <c r="T7" s="70" t="s">
        <v>116</v>
      </c>
      <c r="U7" s="69">
        <v>1</v>
      </c>
      <c r="V7" s="69">
        <v>1</v>
      </c>
      <c r="W7" s="69" t="s">
        <v>117</v>
      </c>
      <c r="X7" s="69">
        <v>1</v>
      </c>
      <c r="Y7" s="69">
        <v>1</v>
      </c>
      <c r="Z7" s="69">
        <v>1</v>
      </c>
      <c r="AA7" s="70" t="s">
        <v>116</v>
      </c>
      <c r="AB7" s="69">
        <v>1</v>
      </c>
      <c r="AC7" s="69">
        <v>1</v>
      </c>
      <c r="AD7" s="69">
        <v>1</v>
      </c>
      <c r="AE7" s="69">
        <v>1</v>
      </c>
      <c r="AF7" s="69">
        <v>1</v>
      </c>
      <c r="AG7" s="69">
        <v>1</v>
      </c>
      <c r="AH7" s="70" t="s">
        <v>116</v>
      </c>
      <c r="AI7" s="69">
        <v>1</v>
      </c>
      <c r="AJ7" s="69">
        <v>1</v>
      </c>
      <c r="AK7" s="69">
        <v>1</v>
      </c>
      <c r="AL7" s="71">
        <f>SUM(H7:AK7)</f>
        <v>24</v>
      </c>
      <c r="AM7" s="72">
        <f>COUNTIF(H7:AK7,$B$22)</f>
        <v>4</v>
      </c>
      <c r="AN7" s="72">
        <f>COUNTIF(H7:AK7,$B$23)</f>
        <v>1</v>
      </c>
      <c r="AO7" s="73">
        <f>(H$4)-AL7-AM7-AN7</f>
        <v>1</v>
      </c>
      <c r="AP7" s="74">
        <v>1</v>
      </c>
      <c r="AQ7" s="75">
        <v>1</v>
      </c>
      <c r="AR7" s="76">
        <f>AP7+AQ7</f>
        <v>2</v>
      </c>
      <c r="AS7" s="76">
        <f>AR7-AO7</f>
        <v>1</v>
      </c>
      <c r="AT7" s="77">
        <v>30</v>
      </c>
      <c r="AU7" s="78">
        <f>(H$4)-AT7</f>
        <v>0</v>
      </c>
      <c r="AV7" s="79"/>
      <c r="AW7" s="80"/>
      <c r="AX7" s="81"/>
      <c r="AY7" s="82"/>
      <c r="AZ7" s="82"/>
      <c r="BA7" s="83"/>
      <c r="BB7" s="83"/>
      <c r="BC7" s="84" t="s">
        <v>118</v>
      </c>
      <c r="BD7" s="85"/>
      <c r="BE7" s="86">
        <v>33800</v>
      </c>
      <c r="BF7" s="87"/>
      <c r="BG7" s="87"/>
      <c r="BH7" s="87"/>
      <c r="BI7" s="87"/>
      <c r="BJ7" s="87"/>
      <c r="BK7" s="85">
        <f>IF(BE7&gt;BL7,BE7-BL7,0)</f>
      </c>
      <c r="BL7" s="88"/>
      <c r="BM7" s="85"/>
      <c r="BN7" s="89">
        <f>BA7+BB7</f>
      </c>
      <c r="BO7" s="90"/>
      <c r="BP7" s="91">
        <v>33800</v>
      </c>
      <c r="BQ7" s="92" t="s">
        <v>119</v>
      </c>
      <c r="BR7" s="93" t="s">
        <v>119</v>
      </c>
      <c r="BS7" s="94" t="s">
        <v>119</v>
      </c>
      <c r="BT7" s="95"/>
      <c r="BU7" s="95">
        <f>AT7</f>
      </c>
      <c r="BV7" s="96">
        <v>1800</v>
      </c>
      <c r="BW7" s="96"/>
      <c r="BX7" s="97">
        <f>BV7</f>
      </c>
      <c r="BY7" s="97">
        <f>BW7</f>
      </c>
      <c r="BZ7" s="98">
        <f>BP7-BX7-BY7</f>
      </c>
      <c r="CA7" s="99"/>
      <c r="CB7" s="99"/>
      <c r="CC7" s="94"/>
      <c r="CD7" s="94"/>
      <c r="CE7" s="94"/>
      <c r="CF7" s="94"/>
      <c r="CG7" s="94"/>
      <c r="CH7" s="100"/>
      <c r="CI7" s="94"/>
      <c r="CJ7" s="101"/>
      <c r="CK7" s="102"/>
      <c r="CL7" s="94"/>
      <c r="CM7" s="103">
        <v>1800</v>
      </c>
      <c r="CN7" s="104">
        <f>BP7-CM7</f>
      </c>
      <c r="CO7" s="94"/>
      <c r="CP7" s="94"/>
      <c r="CQ7" s="94">
        <f>CN7-CO7</f>
      </c>
      <c r="CR7" s="105">
        <v>32000</v>
      </c>
      <c r="CS7" s="106"/>
      <c r="CT7" s="107">
        <f>$H$4</f>
      </c>
      <c r="CU7" s="111">
        <f>CR7</f>
      </c>
      <c r="CV7" s="111">
        <f>MIN(MAX(0,CR7),$CV$2)</f>
      </c>
      <c r="CW7" s="111">
        <f>MAX(0,CR7-CV7)</f>
      </c>
    </row>
    <row r="8" ht="15.75" customHeight="1" spans="1:101" x14ac:dyDescent="0.25">
      <c r="A8" s="25">
        <v>3</v>
      </c>
      <c r="B8" s="64" t="s">
        <v>2</v>
      </c>
      <c r="C8" s="65" t="s">
        <v>122</v>
      </c>
      <c r="D8" s="66" t="s">
        <v>123</v>
      </c>
      <c r="E8" s="25"/>
      <c r="F8" s="67"/>
      <c r="G8" s="68"/>
      <c r="H8" s="69">
        <v>1</v>
      </c>
      <c r="I8" s="69" t="s">
        <v>115</v>
      </c>
      <c r="J8" s="69">
        <v>1</v>
      </c>
      <c r="K8" s="69">
        <v>1</v>
      </c>
      <c r="L8" s="69">
        <v>1</v>
      </c>
      <c r="M8" s="70" t="s">
        <v>116</v>
      </c>
      <c r="N8" s="69">
        <v>1</v>
      </c>
      <c r="O8" s="69">
        <v>1</v>
      </c>
      <c r="P8" s="69">
        <v>1</v>
      </c>
      <c r="Q8" s="69">
        <v>1</v>
      </c>
      <c r="R8" s="69">
        <v>1</v>
      </c>
      <c r="S8" s="69">
        <v>1</v>
      </c>
      <c r="T8" s="70" t="s">
        <v>116</v>
      </c>
      <c r="U8" s="69">
        <v>1</v>
      </c>
      <c r="V8" s="69">
        <v>1</v>
      </c>
      <c r="W8" s="69">
        <v>1</v>
      </c>
      <c r="X8" s="69">
        <v>1</v>
      </c>
      <c r="Y8" s="69">
        <v>1</v>
      </c>
      <c r="Z8" s="69">
        <v>1</v>
      </c>
      <c r="AA8" s="70" t="s">
        <v>116</v>
      </c>
      <c r="AB8" s="69">
        <v>1</v>
      </c>
      <c r="AC8" s="69">
        <v>1</v>
      </c>
      <c r="AD8" s="69">
        <v>1</v>
      </c>
      <c r="AE8" s="69">
        <v>1</v>
      </c>
      <c r="AF8" s="69">
        <v>1</v>
      </c>
      <c r="AG8" s="69">
        <v>1</v>
      </c>
      <c r="AH8" s="70" t="s">
        <v>116</v>
      </c>
      <c r="AI8" s="69">
        <v>1</v>
      </c>
      <c r="AJ8" s="69">
        <v>1</v>
      </c>
      <c r="AK8" s="69">
        <v>1</v>
      </c>
      <c r="AL8" s="71">
        <f>SUM(H8:AK8)</f>
        <v>25</v>
      </c>
      <c r="AM8" s="72">
        <f>COUNTIF(H8:AK8,$B$22)</f>
        <v>4</v>
      </c>
      <c r="AN8" s="72">
        <f>COUNTIF(H8:AK8,$B$23)</f>
        <v>1</v>
      </c>
      <c r="AO8" s="73">
        <f>(H$4)-AL8-AM8-AN8</f>
        <v>0</v>
      </c>
      <c r="AP8" s="74">
        <v>2</v>
      </c>
      <c r="AQ8" s="75">
        <v>1</v>
      </c>
      <c r="AR8" s="76">
        <f>AP8+AQ8</f>
        <v>3</v>
      </c>
      <c r="AS8" s="76">
        <f>AR8-AO8</f>
        <v>3</v>
      </c>
      <c r="AT8" s="77">
        <v>30</v>
      </c>
      <c r="AU8" s="78">
        <f>(H$4)-AT8</f>
        <v>0</v>
      </c>
      <c r="AV8" s="79"/>
      <c r="AW8" s="80"/>
      <c r="AX8" s="81"/>
      <c r="AY8" s="82"/>
      <c r="AZ8" s="82"/>
      <c r="BA8" s="83"/>
      <c r="BB8" s="83"/>
      <c r="BC8" s="84" t="s">
        <v>118</v>
      </c>
      <c r="BD8" s="85"/>
      <c r="BE8" s="86">
        <v>46800</v>
      </c>
      <c r="BF8" s="87"/>
      <c r="BG8" s="87"/>
      <c r="BH8" s="87"/>
      <c r="BI8" s="87"/>
      <c r="BJ8" s="87"/>
      <c r="BK8" s="85">
        <f>IF(BE8&gt;BL8,BE8-BL8,0)</f>
      </c>
      <c r="BL8" s="88"/>
      <c r="BM8" s="85"/>
      <c r="BN8" s="89">
        <f>BA8+BB8</f>
      </c>
      <c r="BO8" s="90"/>
      <c r="BP8" s="91">
        <v>46800</v>
      </c>
      <c r="BQ8" s="92" t="s">
        <v>119</v>
      </c>
      <c r="BR8" s="93" t="s">
        <v>119</v>
      </c>
      <c r="BS8" s="94" t="s">
        <v>119</v>
      </c>
      <c r="BT8" s="95"/>
      <c r="BU8" s="95">
        <f>AT8</f>
      </c>
      <c r="BV8" s="96">
        <v>1800</v>
      </c>
      <c r="BW8" s="96"/>
      <c r="BX8" s="97">
        <f>BV8</f>
      </c>
      <c r="BY8" s="97">
        <f>BW8</f>
      </c>
      <c r="BZ8" s="98">
        <f>BP8-BX8-BY8</f>
      </c>
      <c r="CA8" s="99"/>
      <c r="CB8" s="99"/>
      <c r="CC8" s="94"/>
      <c r="CD8" s="94"/>
      <c r="CE8" s="94"/>
      <c r="CF8" s="94"/>
      <c r="CG8" s="94"/>
      <c r="CH8" s="100"/>
      <c r="CI8" s="94"/>
      <c r="CJ8" s="101"/>
      <c r="CK8" s="102"/>
      <c r="CL8" s="94"/>
      <c r="CM8" s="103">
        <v>1800</v>
      </c>
      <c r="CN8" s="104">
        <f>BP8-CM8</f>
      </c>
      <c r="CO8" s="94"/>
      <c r="CP8" s="94"/>
      <c r="CQ8" s="94">
        <f>CN8-CO8</f>
      </c>
      <c r="CR8" s="105">
        <v>45000</v>
      </c>
      <c r="CS8" s="106"/>
      <c r="CT8" s="107">
        <f>$H$4</f>
      </c>
      <c r="CU8" s="111">
        <f>CR8</f>
      </c>
      <c r="CV8" s="111">
        <f>MIN(MAX(0,CR8),25000)</f>
      </c>
      <c r="CW8" s="111">
        <f>MAX(0,CR8-CV8)</f>
      </c>
    </row>
    <row r="9" ht="15.75" customHeight="1" spans="1:101" x14ac:dyDescent="0.25">
      <c r="A9" s="25">
        <v>4</v>
      </c>
      <c r="B9" s="64" t="s">
        <v>2</v>
      </c>
      <c r="C9" s="65" t="s">
        <v>124</v>
      </c>
      <c r="D9" s="66" t="s">
        <v>125</v>
      </c>
      <c r="E9" s="25"/>
      <c r="F9" s="67"/>
      <c r="G9" s="68"/>
      <c r="H9" s="69">
        <v>1</v>
      </c>
      <c r="I9" s="69" t="s">
        <v>115</v>
      </c>
      <c r="J9" s="69">
        <v>0.5</v>
      </c>
      <c r="K9" s="69">
        <v>1</v>
      </c>
      <c r="L9" s="69">
        <v>1</v>
      </c>
      <c r="M9" s="70" t="s">
        <v>116</v>
      </c>
      <c r="N9" s="69">
        <v>1</v>
      </c>
      <c r="O9" s="69">
        <v>1</v>
      </c>
      <c r="P9" s="69">
        <v>1</v>
      </c>
      <c r="Q9" s="69">
        <v>1</v>
      </c>
      <c r="R9" s="69">
        <v>1</v>
      </c>
      <c r="S9" s="69">
        <v>1</v>
      </c>
      <c r="T9" s="70" t="s">
        <v>116</v>
      </c>
      <c r="U9" s="69">
        <v>1</v>
      </c>
      <c r="V9" s="69">
        <v>1</v>
      </c>
      <c r="W9" s="69">
        <v>1</v>
      </c>
      <c r="X9" s="69">
        <v>1</v>
      </c>
      <c r="Y9" s="69">
        <v>1</v>
      </c>
      <c r="Z9" s="69">
        <v>1</v>
      </c>
      <c r="AA9" s="70" t="s">
        <v>116</v>
      </c>
      <c r="AB9" s="69" t="s">
        <v>117</v>
      </c>
      <c r="AC9" s="69" t="s">
        <v>117</v>
      </c>
      <c r="AD9" s="69">
        <v>0</v>
      </c>
      <c r="AE9" s="69">
        <v>0</v>
      </c>
      <c r="AF9" s="69">
        <v>0</v>
      </c>
      <c r="AG9" s="69">
        <v>0</v>
      </c>
      <c r="AH9" s="70" t="s">
        <v>116</v>
      </c>
      <c r="AI9" s="69">
        <v>0</v>
      </c>
      <c r="AJ9" s="69">
        <v>0</v>
      </c>
      <c r="AK9" s="69">
        <v>0</v>
      </c>
      <c r="AL9" s="71">
        <f>SUM(H9:AK9)</f>
        <v>15.5</v>
      </c>
      <c r="AM9" s="72">
        <f>COUNTIF(H9:AK9,$B$22)</f>
        <v>4</v>
      </c>
      <c r="AN9" s="72">
        <f>COUNTIF(H9:AK9,$B$23)</f>
        <v>1</v>
      </c>
      <c r="AO9" s="73">
        <f>(H$4)-AL9-AM9-AN9</f>
        <v>9.5</v>
      </c>
      <c r="AP9" s="74">
        <v>1</v>
      </c>
      <c r="AQ9" s="75">
        <v>1</v>
      </c>
      <c r="AR9" s="76">
        <f>AP9+AQ9</f>
        <v>2</v>
      </c>
      <c r="AS9" s="76">
        <f>AR9-AO9</f>
        <v>-7.5</v>
      </c>
      <c r="AT9" s="77">
        <v>21.5</v>
      </c>
      <c r="AU9" s="78">
        <f>(H$4)-AT9</f>
        <v>8.5</v>
      </c>
      <c r="AV9" s="79"/>
      <c r="AW9" s="80"/>
      <c r="AX9" s="81"/>
      <c r="AY9" s="82"/>
      <c r="AZ9" s="82"/>
      <c r="BA9" s="83"/>
      <c r="BB9" s="83"/>
      <c r="BC9" s="84" t="s">
        <v>118</v>
      </c>
      <c r="BD9" s="85"/>
      <c r="BE9" s="86">
        <v>27800</v>
      </c>
      <c r="BF9" s="87"/>
      <c r="BG9" s="87"/>
      <c r="BH9" s="87"/>
      <c r="BI9" s="87"/>
      <c r="BJ9" s="87"/>
      <c r="BK9" s="85">
        <f>IF(BE9&gt;BL9,BE9-BL9,0)</f>
      </c>
      <c r="BL9" s="88"/>
      <c r="BM9" s="85"/>
      <c r="BN9" s="89">
        <f>BA9+BB9</f>
      </c>
      <c r="BO9" s="90"/>
      <c r="BP9" s="91">
        <v>27800</v>
      </c>
      <c r="BQ9" s="92" t="s">
        <v>119</v>
      </c>
      <c r="BR9" s="93" t="s">
        <v>119</v>
      </c>
      <c r="BS9" s="94" t="s">
        <v>119</v>
      </c>
      <c r="BT9" s="95"/>
      <c r="BU9" s="95">
        <f>AT9</f>
      </c>
      <c r="BV9" s="96">
        <v>1800</v>
      </c>
      <c r="BW9" s="96"/>
      <c r="BX9" s="97">
        <f>BV9</f>
      </c>
      <c r="BY9" s="97">
        <f>BW9</f>
      </c>
      <c r="BZ9" s="98">
        <f>BP9-BX9-BY9</f>
      </c>
      <c r="CA9" s="99"/>
      <c r="CB9" s="99"/>
      <c r="CC9" s="94"/>
      <c r="CD9" s="94"/>
      <c r="CE9" s="94"/>
      <c r="CF9" s="94"/>
      <c r="CG9" s="94"/>
      <c r="CH9" s="100"/>
      <c r="CI9" s="94"/>
      <c r="CJ9" s="101"/>
      <c r="CK9" s="102"/>
      <c r="CL9" s="94"/>
      <c r="CM9" s="103">
        <v>1800</v>
      </c>
      <c r="CN9" s="104">
        <f>BP9-CM9</f>
      </c>
      <c r="CO9" s="94"/>
      <c r="CP9" s="94"/>
      <c r="CQ9" s="94">
        <f>CN9-CO9</f>
      </c>
      <c r="CR9" s="105">
        <v>26000</v>
      </c>
      <c r="CS9" s="106"/>
      <c r="CT9" s="107">
        <f>$H$4</f>
      </c>
      <c r="CU9" s="111">
        <f>CR9</f>
      </c>
      <c r="CV9" s="111">
        <f>ROUND(MAX(0,CR9)*50%,2)</f>
      </c>
      <c r="CW9" s="111">
        <f>MAX(0,CR9-CV9)</f>
      </c>
    </row>
    <row r="10" spans="99:101" x14ac:dyDescent="0.25">
      <c r="CU10" s="112">
        <f>SUM(CU6:CU9)</f>
      </c>
      <c r="CV10" s="112">
        <f>SUM(CV6:CV9)</f>
      </c>
      <c r="CW10" s="112">
        <f>SUM(CW6:CW9)</f>
      </c>
    </row>
    <row r="14" spans="2:2" x14ac:dyDescent="0.25">
      <c r="B14" s="108" t="s">
        <v>126</v>
      </c>
    </row>
    <row r="15" spans="4:4" x14ac:dyDescent="0.25">
      <c r="D15" t="s">
        <v>127</v>
      </c>
    </row>
    <row r="16" spans="4:4" x14ac:dyDescent="0.25">
      <c r="D16" t="s">
        <v>128</v>
      </c>
    </row>
    <row r="17" spans="4:4" x14ac:dyDescent="0.25">
      <c r="D17" t="s">
        <v>129</v>
      </c>
    </row>
    <row r="18" spans="4:4" x14ac:dyDescent="0.25">
      <c r="D18" t="s">
        <v>130</v>
      </c>
    </row>
    <row r="19" spans="2:4" x14ac:dyDescent="0.25">
      <c r="B19" s="108">
        <v>1</v>
      </c>
      <c r="D19" t="s">
        <v>131</v>
      </c>
    </row>
    <row r="20" spans="2:4" x14ac:dyDescent="0.25">
      <c r="B20" s="108">
        <v>0.5</v>
      </c>
      <c r="D20" t="s">
        <v>132</v>
      </c>
    </row>
    <row r="21" spans="2:4" x14ac:dyDescent="0.25">
      <c r="B21" s="108" t="s">
        <v>117</v>
      </c>
      <c r="D21" t="s">
        <v>133</v>
      </c>
    </row>
    <row r="22" spans="2:4" x14ac:dyDescent="0.25">
      <c r="B22" s="108" t="s">
        <v>116</v>
      </c>
      <c r="D22" t="s">
        <v>134</v>
      </c>
    </row>
    <row r="23" spans="2:4" x14ac:dyDescent="0.25">
      <c r="B23" s="108" t="s">
        <v>115</v>
      </c>
      <c r="D23" t="s">
        <v>135</v>
      </c>
    </row>
    <row r="24" spans="4:4" x14ac:dyDescent="0.25">
      <c r="D24" t="s">
        <v>136</v>
      </c>
    </row>
    <row r="25" spans="4:4" x14ac:dyDescent="0.25">
      <c r="D25" t="s">
        <v>137</v>
      </c>
    </row>
    <row r="26" spans="4:4" x14ac:dyDescent="0.25">
      <c r="D26" t="s">
        <v>138</v>
      </c>
    </row>
  </sheetData>
  <mergeCells count="10">
    <mergeCell ref="CU1:CW1"/>
    <mergeCell ref="I3:AU3"/>
    <mergeCell ref="BC3:BZ3"/>
    <mergeCell ref="CU3:CW3"/>
    <mergeCell ref="AL4:AU4"/>
    <mergeCell ref="AV4:BB4"/>
    <mergeCell ref="BC4:BP4"/>
    <mergeCell ref="BQ4:BY4"/>
    <mergeCell ref="CA4:CH4"/>
    <mergeCell ref="CM4:CR4"/>
  </mergeCells>
  <conditionalFormatting sqref="H6:AK9">
    <cfRule type="containsText" dxfId="4" priority="1">
      <formula>NOT(ISERROR(SEARCH("H",H6)))</formula>
    </cfRule>
    <cfRule type="containsText" dxfId="5" priority="2">
      <formula>NOT(ISERROR(SEARCH("L",H6)))</formula>
    </cfRule>
  </conditionalFormatting>
  <dataValidations count="2">
    <dataValidation type="list" allowBlank="1" sqref="AA6:AK9">
      <formula1>$B$19:$B$23</formula1>
    </dataValidation>
    <dataValidation type="list" allowBlank="1" sqref="H6:AK9">
      <formula1>$B$19:$B$23</formula1>
    </dataValidation>
  </dataValidations>
  <pageMargins left="0.7" right="0.7" top="0.75" bottom="0.75" header="0.3" footer="0.3"/>
  <pageSetup paperSize="8"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T23"/>
  <sheetViews>
    <sheetView workbookViewId="0" zoomScale="100">
      <pane xSplit="7" ySplit="5" topLeftCell="H6" activePane="bottomRight" state="frozen"/>
      <selection pane="bottomRight"/>
    </sheetView>
  </sheetViews>
  <sheetFormatPr defaultRowHeight="15" outlineLevelRow="0" outlineLevelCol="0" x14ac:dyDescent="55"/>
  <cols>
    <col min="1" max="1" width="3.43" customWidth="1"/>
    <col min="2" max="2" width="10.86" customWidth="1"/>
    <col min="3" max="3" width="12.43" customWidth="1"/>
    <col min="4" max="4" width="20.57" customWidth="1"/>
    <col min="5" max="5" width="3.57" hidden="1" customWidth="1"/>
    <col min="6" max="6" width="4.86" hidden="1" customWidth="1"/>
    <col min="7" max="7" width="4.43" hidden="1" customWidth="1"/>
    <col min="8" max="37" width="5.43" customWidth="1"/>
    <col min="38" max="38" width="7.14" customWidth="1"/>
    <col min="39" max="40" width="4.43" customWidth="1"/>
    <col min="41" max="41" width="6.71" customWidth="1"/>
    <col min="42" max="42" width="5.43" customWidth="1"/>
    <col min="43" max="43" width="6.57" customWidth="1"/>
    <col min="44" max="44" width="5" customWidth="1"/>
    <col min="45" max="45" width="7.14" customWidth="1"/>
    <col min="46" max="46" width="8" customWidth="1"/>
    <col min="47" max="47" width="6.71" customWidth="1"/>
    <col min="48" max="48" width="8.71" customWidth="1"/>
    <col min="49" max="49" width="6.71" customWidth="1"/>
    <col min="50" max="50" width="8.43" customWidth="1"/>
    <col min="51" max="51" width="5.29" customWidth="1"/>
    <col min="52" max="52" width="8" customWidth="1"/>
    <col min="53" max="53" width="9.29" customWidth="1"/>
    <col min="54" max="54" width="10" customWidth="1"/>
    <col min="55" max="56" width="8" customWidth="1"/>
    <col min="57" max="57" width="11.43" customWidth="1"/>
    <col min="58" max="58" width="7.43" hidden="1" customWidth="1"/>
    <col min="59" max="59" width="7.86" hidden="1" customWidth="1"/>
    <col min="60" max="60" width="7.14" hidden="1" customWidth="1"/>
    <col min="61" max="61" width="2" hidden="1" customWidth="1"/>
    <col min="62" max="62" width="0.71" hidden="1" customWidth="1"/>
    <col min="63" max="63" width="11.71" customWidth="1"/>
    <col min="64" max="64" width="11.57" customWidth="1"/>
    <col min="65" max="65" width="10.29" customWidth="1"/>
    <col min="66" max="67" width="10.86" customWidth="1"/>
    <col min="68" max="68" width="12" customWidth="1"/>
    <col min="69" max="69" width="6.14" customWidth="1"/>
    <col min="70" max="73" width="8" customWidth="1"/>
    <col min="74" max="74" width="8.57" customWidth="1"/>
    <col min="75" max="77" width="8" customWidth="1"/>
    <col min="78" max="78" width="12.71" customWidth="1"/>
    <col min="79" max="79" width="12.29" customWidth="1"/>
    <col min="80" max="80" width="11.14" customWidth="1"/>
    <col min="81" max="83" width="10.29" customWidth="1"/>
    <col min="84" max="84" width="10" customWidth="1"/>
    <col min="85" max="85" width="9.57" customWidth="1"/>
    <col min="86" max="86" width="10.86" customWidth="1"/>
    <col min="87" max="87" width="8" customWidth="1"/>
    <col min="88" max="88" width="0.71" customWidth="1"/>
    <col min="89" max="89" width="10.86" customWidth="1"/>
    <col min="90" max="90" width="9.43" customWidth="1"/>
    <col min="91" max="91" width="10.57" customWidth="1"/>
    <col min="92" max="92" width="13.14" customWidth="1"/>
    <col min="93" max="93" width="11.43" customWidth="1"/>
    <col min="94" max="94" width="10.14" customWidth="1"/>
    <col min="95" max="95" width="11.57" customWidth="1"/>
    <col min="96" max="96" width="12.43" customWidth="1"/>
    <col min="97" max="97" width="14.71" hidden="1" customWidth="1"/>
    <col min="98" max="98" width="0.86" customWidth="1"/>
  </cols>
  <sheetData>
    <row r="1" ht="18.75" customHeight="1" spans="1:98" x14ac:dyDescent="0.25">
      <c r="A1" s="1"/>
      <c r="B1" s="2" t="s">
        <v>0</v>
      </c>
      <c r="C1" s="2"/>
      <c r="D1" s="3"/>
      <c r="E1" s="2"/>
      <c r="F1" s="2"/>
      <c r="G1" s="2"/>
      <c r="H1" s="2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6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</row>
    <row r="2" ht="15.75" customHeight="1" spans="1:98" x14ac:dyDescent="0.25">
      <c r="A2" s="1"/>
      <c r="B2" s="7" t="s">
        <v>1</v>
      </c>
      <c r="C2" s="8" t="s">
        <v>149</v>
      </c>
      <c r="D2" s="8"/>
      <c r="E2" s="8"/>
      <c r="F2" s="8"/>
      <c r="G2" s="8"/>
      <c r="H2" s="9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6"/>
      <c r="BF2" s="6"/>
      <c r="BG2" s="6"/>
      <c r="BH2" s="6"/>
      <c r="BI2" s="6"/>
      <c r="BJ2" s="6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</row>
    <row r="3" ht="19.5" customHeight="1" spans="1:98" x14ac:dyDescent="0.25">
      <c r="A3" s="1"/>
      <c r="B3" s="7" t="s">
        <v>3</v>
      </c>
      <c r="C3" s="8" t="s">
        <v>4</v>
      </c>
      <c r="D3" s="8"/>
      <c r="E3" s="8"/>
      <c r="F3" s="8"/>
      <c r="G3" s="8"/>
      <c r="H3" s="9"/>
      <c r="I3" s="10" t="s">
        <v>150</v>
      </c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"/>
      <c r="AW3" s="1"/>
      <c r="AX3" s="1"/>
      <c r="AY3" s="1"/>
      <c r="AZ3" s="1"/>
      <c r="BA3" s="1"/>
      <c r="BB3" s="1"/>
      <c r="BC3" s="11" t="s">
        <v>150</v>
      </c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</row>
    <row r="4" ht="21.75" customHeight="1" spans="1:98" x14ac:dyDescent="0.25">
      <c r="A4" s="1"/>
      <c r="B4" s="7" t="s">
        <v>6</v>
      </c>
      <c r="C4" s="12">
        <v>46266</v>
      </c>
      <c r="D4" s="13" t="s">
        <v>7</v>
      </c>
      <c r="E4" s="14"/>
      <c r="F4" s="14" t="s">
        <v>8</v>
      </c>
      <c r="G4" s="14"/>
      <c r="H4" s="15">
        <v>30</v>
      </c>
      <c r="I4" s="1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7" t="s">
        <v>9</v>
      </c>
      <c r="AM4" s="17"/>
      <c r="AN4" s="17"/>
      <c r="AO4" s="17"/>
      <c r="AP4" s="17"/>
      <c r="AQ4" s="17"/>
      <c r="AR4" s="17"/>
      <c r="AS4" s="17"/>
      <c r="AT4" s="17"/>
      <c r="AU4" s="17"/>
      <c r="AV4" s="18" t="s">
        <v>10</v>
      </c>
      <c r="AW4" s="18"/>
      <c r="AX4" s="18"/>
      <c r="AY4" s="18"/>
      <c r="AZ4" s="18"/>
      <c r="BA4" s="18"/>
      <c r="BB4" s="18"/>
      <c r="BC4" s="19" t="s">
        <v>11</v>
      </c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20" t="s">
        <v>12</v>
      </c>
      <c r="BR4" s="20"/>
      <c r="BS4" s="20"/>
      <c r="BT4" s="20"/>
      <c r="BU4" s="20"/>
      <c r="BV4" s="20"/>
      <c r="BW4" s="20"/>
      <c r="BX4" s="20"/>
      <c r="BY4" s="20"/>
      <c r="BZ4" s="21"/>
      <c r="CA4" s="22" t="s">
        <v>13</v>
      </c>
      <c r="CB4" s="22"/>
      <c r="CC4" s="22"/>
      <c r="CD4" s="22"/>
      <c r="CE4" s="22"/>
      <c r="CF4" s="22"/>
      <c r="CG4" s="22"/>
      <c r="CH4" s="22"/>
      <c r="CI4" s="23" t="s">
        <v>14</v>
      </c>
      <c r="CJ4" s="23"/>
      <c r="CK4" s="23"/>
      <c r="CL4" s="23"/>
      <c r="CM4" s="24" t="s">
        <v>15</v>
      </c>
      <c r="CN4" s="24"/>
      <c r="CO4" s="24"/>
      <c r="CP4" s="24"/>
      <c r="CQ4" s="24"/>
      <c r="CR4" s="24"/>
      <c r="CS4" s="1"/>
      <c r="CT4" s="1"/>
    </row>
    <row r="5" ht="76.5" customHeight="1" spans="1:98" x14ac:dyDescent="0.25">
      <c r="A5" s="25" t="s">
        <v>16</v>
      </c>
      <c r="B5" s="26" t="s">
        <v>17</v>
      </c>
      <c r="C5" s="27" t="s">
        <v>18</v>
      </c>
      <c r="D5" s="28" t="s">
        <v>19</v>
      </c>
      <c r="E5" s="27" t="s">
        <v>20</v>
      </c>
      <c r="F5" s="27" t="s">
        <v>21</v>
      </c>
      <c r="G5" s="27" t="s">
        <v>22</v>
      </c>
      <c r="H5" s="29" t="s">
        <v>23</v>
      </c>
      <c r="I5" s="30" t="s">
        <v>24</v>
      </c>
      <c r="J5" s="31" t="s">
        <v>25</v>
      </c>
      <c r="K5" s="31" t="s">
        <v>26</v>
      </c>
      <c r="L5" s="31" t="s">
        <v>27</v>
      </c>
      <c r="M5" s="31" t="s">
        <v>28</v>
      </c>
      <c r="N5" s="31" t="s">
        <v>29</v>
      </c>
      <c r="O5" s="31" t="s">
        <v>30</v>
      </c>
      <c r="P5" s="31" t="s">
        <v>31</v>
      </c>
      <c r="Q5" s="31" t="s">
        <v>32</v>
      </c>
      <c r="R5" s="31" t="s">
        <v>33</v>
      </c>
      <c r="S5" s="31" t="s">
        <v>34</v>
      </c>
      <c r="T5" s="31" t="s">
        <v>35</v>
      </c>
      <c r="U5" s="31" t="s">
        <v>36</v>
      </c>
      <c r="V5" s="32" t="s">
        <v>37</v>
      </c>
      <c r="W5" s="31" t="s">
        <v>38</v>
      </c>
      <c r="X5" s="31" t="s">
        <v>39</v>
      </c>
      <c r="Y5" s="31" t="s">
        <v>40</v>
      </c>
      <c r="Z5" s="31" t="s">
        <v>41</v>
      </c>
      <c r="AA5" s="31" t="s">
        <v>42</v>
      </c>
      <c r="AB5" s="31" t="s">
        <v>43</v>
      </c>
      <c r="AC5" s="31" t="s">
        <v>44</v>
      </c>
      <c r="AD5" s="31" t="s">
        <v>45</v>
      </c>
      <c r="AE5" s="31" t="s">
        <v>46</v>
      </c>
      <c r="AF5" s="31" t="s">
        <v>47</v>
      </c>
      <c r="AG5" s="31" t="s">
        <v>48</v>
      </c>
      <c r="AH5" s="33" t="s">
        <v>49</v>
      </c>
      <c r="AI5" s="33" t="s">
        <v>50</v>
      </c>
      <c r="AJ5" s="33" t="s">
        <v>51</v>
      </c>
      <c r="AK5" s="33" t="s">
        <v>52</v>
      </c>
      <c r="AL5" s="34" t="s">
        <v>53</v>
      </c>
      <c r="AM5" s="35" t="s">
        <v>54</v>
      </c>
      <c r="AN5" s="35" t="s">
        <v>55</v>
      </c>
      <c r="AO5" s="35" t="s">
        <v>56</v>
      </c>
      <c r="AP5" s="35" t="s">
        <v>57</v>
      </c>
      <c r="AQ5" s="35" t="s">
        <v>58</v>
      </c>
      <c r="AR5" s="35" t="s">
        <v>59</v>
      </c>
      <c r="AS5" s="35" t="s">
        <v>60</v>
      </c>
      <c r="AT5" s="35" t="s">
        <v>61</v>
      </c>
      <c r="AU5" s="36" t="s">
        <v>62</v>
      </c>
      <c r="AV5" s="37" t="s">
        <v>63</v>
      </c>
      <c r="AW5" s="38" t="s">
        <v>64</v>
      </c>
      <c r="AX5" s="38" t="s">
        <v>65</v>
      </c>
      <c r="AY5" s="38" t="s">
        <v>66</v>
      </c>
      <c r="AZ5" s="38" t="s">
        <v>67</v>
      </c>
      <c r="BA5" s="38" t="s">
        <v>68</v>
      </c>
      <c r="BB5" s="39" t="s">
        <v>69</v>
      </c>
      <c r="BC5" s="40" t="s">
        <v>70</v>
      </c>
      <c r="BD5" s="41" t="s">
        <v>71</v>
      </c>
      <c r="BE5" s="42" t="s">
        <v>72</v>
      </c>
      <c r="BF5" s="42" t="s">
        <v>73</v>
      </c>
      <c r="BG5" s="42" t="s">
        <v>74</v>
      </c>
      <c r="BH5" s="42" t="s">
        <v>75</v>
      </c>
      <c r="BI5" s="42" t="s">
        <v>76</v>
      </c>
      <c r="BJ5" s="42" t="s">
        <v>77</v>
      </c>
      <c r="BK5" s="43" t="s">
        <v>78</v>
      </c>
      <c r="BL5" s="44" t="s">
        <v>79</v>
      </c>
      <c r="BM5" s="45" t="s">
        <v>80</v>
      </c>
      <c r="BN5" s="44" t="s">
        <v>81</v>
      </c>
      <c r="BO5" s="45" t="s">
        <v>82</v>
      </c>
      <c r="BP5" s="46" t="s">
        <v>83</v>
      </c>
      <c r="BQ5" s="47" t="s">
        <v>84</v>
      </c>
      <c r="BR5" s="48" t="s">
        <v>85</v>
      </c>
      <c r="BS5" s="49" t="s">
        <v>86</v>
      </c>
      <c r="BT5" s="49" t="s">
        <v>87</v>
      </c>
      <c r="BU5" s="49" t="s">
        <v>88</v>
      </c>
      <c r="BV5" s="49" t="s">
        <v>89</v>
      </c>
      <c r="BW5" s="49" t="s">
        <v>90</v>
      </c>
      <c r="BX5" s="49" t="s">
        <v>91</v>
      </c>
      <c r="BY5" s="48" t="s">
        <v>92</v>
      </c>
      <c r="BZ5" s="50" t="s">
        <v>93</v>
      </c>
      <c r="CA5" s="51" t="s">
        <v>94</v>
      </c>
      <c r="CB5" s="52" t="s">
        <v>95</v>
      </c>
      <c r="CC5" s="53" t="s">
        <v>96</v>
      </c>
      <c r="CD5" s="53" t="s">
        <v>97</v>
      </c>
      <c r="CE5" s="54" t="s">
        <v>98</v>
      </c>
      <c r="CF5" s="55" t="s">
        <v>99</v>
      </c>
      <c r="CG5" s="55" t="s">
        <v>100</v>
      </c>
      <c r="CH5" s="56" t="s">
        <v>101</v>
      </c>
      <c r="CI5" s="57" t="s">
        <v>102</v>
      </c>
      <c r="CJ5" s="57"/>
      <c r="CK5" s="58" t="s">
        <v>103</v>
      </c>
      <c r="CL5" s="58" t="s">
        <v>104</v>
      </c>
      <c r="CM5" s="59" t="s">
        <v>105</v>
      </c>
      <c r="CN5" s="60" t="s">
        <v>106</v>
      </c>
      <c r="CO5" s="26" t="s">
        <v>107</v>
      </c>
      <c r="CP5" s="60" t="s">
        <v>108</v>
      </c>
      <c r="CQ5" s="60" t="s">
        <v>109</v>
      </c>
      <c r="CR5" s="61" t="s">
        <v>110</v>
      </c>
      <c r="CS5" s="62" t="s">
        <v>111</v>
      </c>
      <c r="CT5" s="63" t="s">
        <v>112</v>
      </c>
    </row>
    <row r="6" ht="15.75" customHeight="1" spans="1:98" x14ac:dyDescent="0.25">
      <c r="A6" s="25">
        <v>6</v>
      </c>
      <c r="B6" s="64" t="s">
        <v>151</v>
      </c>
      <c r="C6" s="65" t="s">
        <v>152</v>
      </c>
      <c r="D6" s="66" t="s">
        <v>153</v>
      </c>
      <c r="E6" s="25"/>
      <c r="F6" s="67"/>
      <c r="G6" s="68"/>
      <c r="H6" s="69">
        <v>1</v>
      </c>
      <c r="I6" s="69" t="s">
        <v>115</v>
      </c>
      <c r="J6" s="69">
        <v>1</v>
      </c>
      <c r="K6" s="69">
        <v>1</v>
      </c>
      <c r="L6" s="69">
        <v>1</v>
      </c>
      <c r="M6" s="70" t="s">
        <v>116</v>
      </c>
      <c r="N6" s="69">
        <v>1</v>
      </c>
      <c r="O6" s="69">
        <v>1</v>
      </c>
      <c r="P6" s="69">
        <v>1</v>
      </c>
      <c r="Q6" s="69">
        <v>1</v>
      </c>
      <c r="R6" s="69">
        <v>1</v>
      </c>
      <c r="S6" s="69">
        <v>1</v>
      </c>
      <c r="T6" s="70" t="s">
        <v>116</v>
      </c>
      <c r="U6" s="69">
        <v>1</v>
      </c>
      <c r="V6" s="69">
        <v>1</v>
      </c>
      <c r="W6" s="69">
        <v>1</v>
      </c>
      <c r="X6" s="69">
        <v>1</v>
      </c>
      <c r="Y6" s="69">
        <v>1</v>
      </c>
      <c r="Z6" s="69">
        <v>1</v>
      </c>
      <c r="AA6" s="70" t="s">
        <v>116</v>
      </c>
      <c r="AB6" s="69">
        <v>1</v>
      </c>
      <c r="AC6" s="69">
        <v>1</v>
      </c>
      <c r="AD6" s="69">
        <v>1</v>
      </c>
      <c r="AE6" s="69">
        <v>1</v>
      </c>
      <c r="AF6" s="69">
        <v>1</v>
      </c>
      <c r="AG6" s="69">
        <v>1</v>
      </c>
      <c r="AH6" s="70" t="s">
        <v>116</v>
      </c>
      <c r="AI6" s="69">
        <v>1</v>
      </c>
      <c r="AJ6" s="69">
        <v>1</v>
      </c>
      <c r="AK6" s="69">
        <v>1</v>
      </c>
      <c r="AL6" s="71">
        <f>SUM(H6:AK6)</f>
        <v>25</v>
      </c>
      <c r="AM6" s="72">
        <f>COUNTIF(H6:AK6,$B$19)</f>
        <v>4</v>
      </c>
      <c r="AN6" s="72">
        <f>COUNTIF(H6:AK6,$B$20)</f>
        <v>1</v>
      </c>
      <c r="AO6" s="73">
        <f>(H$4)-AL6-AM6-AN6</f>
        <v>0</v>
      </c>
      <c r="AP6" s="74">
        <v>1</v>
      </c>
      <c r="AQ6" s="75">
        <v>1</v>
      </c>
      <c r="AR6" s="76">
        <f>AP6+AQ6</f>
        <v>2</v>
      </c>
      <c r="AS6" s="76">
        <f>AR6-AO6</f>
        <v>2</v>
      </c>
      <c r="AT6" s="77">
        <v>30</v>
      </c>
      <c r="AU6" s="78">
        <f>(H$4)-AT6</f>
        <v>0</v>
      </c>
      <c r="AV6" s="79"/>
      <c r="AW6" s="80"/>
      <c r="AX6" s="81"/>
      <c r="AY6" s="82"/>
      <c r="AZ6" s="82"/>
      <c r="BA6" s="83"/>
      <c r="BB6" s="83"/>
      <c r="BC6" s="84" t="s">
        <v>118</v>
      </c>
      <c r="BD6" s="85"/>
      <c r="BE6" s="86">
        <v>22800</v>
      </c>
      <c r="BF6" s="87"/>
      <c r="BG6" s="87"/>
      <c r="BH6" s="87"/>
      <c r="BI6" s="87"/>
      <c r="BJ6" s="87"/>
      <c r="BK6" s="85">
        <f>IF(BE6&gt;BL6,BE6-BL6,0)</f>
      </c>
      <c r="BL6" s="88"/>
      <c r="BM6" s="85"/>
      <c r="BN6" s="89">
        <f>BA6+BB6</f>
      </c>
      <c r="BO6" s="90"/>
      <c r="BP6" s="91">
        <v>22800</v>
      </c>
      <c r="BQ6" s="92" t="s">
        <v>119</v>
      </c>
      <c r="BR6" s="93" t="s">
        <v>119</v>
      </c>
      <c r="BS6" s="94" t="s">
        <v>119</v>
      </c>
      <c r="BT6" s="95"/>
      <c r="BU6" s="95">
        <f>AT6</f>
      </c>
      <c r="BV6" s="96">
        <v>1800</v>
      </c>
      <c r="BW6" s="96"/>
      <c r="BX6" s="97">
        <f>BV6</f>
      </c>
      <c r="BY6" s="97">
        <f>BW6</f>
      </c>
      <c r="BZ6" s="98">
        <f>BP6-BX6-BY6</f>
      </c>
      <c r="CA6" s="99"/>
      <c r="CB6" s="99"/>
      <c r="CC6" s="94"/>
      <c r="CD6" s="94"/>
      <c r="CE6" s="94"/>
      <c r="CF6" s="94"/>
      <c r="CG6" s="94"/>
      <c r="CH6" s="100"/>
      <c r="CI6" s="94"/>
      <c r="CJ6" s="101"/>
      <c r="CK6" s="102"/>
      <c r="CL6" s="94"/>
      <c r="CM6" s="103">
        <v>1800</v>
      </c>
      <c r="CN6" s="104">
        <f>BP6-CM6</f>
      </c>
      <c r="CO6" s="94"/>
      <c r="CP6" s="94"/>
      <c r="CQ6" s="94">
        <f>CN6-CO6</f>
      </c>
      <c r="CR6" s="105">
        <v>21000</v>
      </c>
      <c r="CS6" s="106"/>
      <c r="CT6" s="107">
        <f>$H$4</f>
      </c>
    </row>
    <row r="11" spans="2:2" x14ac:dyDescent="0.25">
      <c r="B11" s="108" t="s">
        <v>126</v>
      </c>
    </row>
    <row r="12" spans="4:4" x14ac:dyDescent="0.25">
      <c r="D12" t="s">
        <v>127</v>
      </c>
    </row>
    <row r="13" spans="4:4" x14ac:dyDescent="0.25">
      <c r="D13" t="s">
        <v>128</v>
      </c>
    </row>
    <row r="14" spans="4:4" x14ac:dyDescent="0.25">
      <c r="D14" t="s">
        <v>129</v>
      </c>
    </row>
    <row r="15" spans="4:4" x14ac:dyDescent="0.25">
      <c r="D15" t="s">
        <v>130</v>
      </c>
    </row>
    <row r="16" spans="2:4" x14ac:dyDescent="0.25">
      <c r="B16" s="108">
        <v>1</v>
      </c>
      <c r="D16" t="s">
        <v>131</v>
      </c>
    </row>
    <row r="17" spans="2:4" x14ac:dyDescent="0.25">
      <c r="B17" s="108">
        <v>0.5</v>
      </c>
      <c r="D17" t="s">
        <v>132</v>
      </c>
    </row>
    <row r="18" spans="2:4" x14ac:dyDescent="0.25">
      <c r="B18" s="108" t="s">
        <v>117</v>
      </c>
      <c r="D18" t="s">
        <v>133</v>
      </c>
    </row>
    <row r="19" spans="2:4" x14ac:dyDescent="0.25">
      <c r="B19" s="108" t="s">
        <v>116</v>
      </c>
      <c r="D19" t="s">
        <v>134</v>
      </c>
    </row>
    <row r="20" spans="2:4" x14ac:dyDescent="0.25">
      <c r="B20" s="108" t="s">
        <v>115</v>
      </c>
      <c r="D20" t="s">
        <v>135</v>
      </c>
    </row>
    <row r="21" spans="4:4" x14ac:dyDescent="0.25">
      <c r="D21" t="s">
        <v>136</v>
      </c>
    </row>
    <row r="22" spans="4:4" x14ac:dyDescent="0.25">
      <c r="D22" t="s">
        <v>137</v>
      </c>
    </row>
    <row r="23" spans="4:4" x14ac:dyDescent="0.25">
      <c r="D23" t="s">
        <v>138</v>
      </c>
    </row>
  </sheetData>
  <mergeCells count="8">
    <mergeCell ref="I3:AU3"/>
    <mergeCell ref="BC3:BZ3"/>
    <mergeCell ref="AL4:AU4"/>
    <mergeCell ref="AV4:BB4"/>
    <mergeCell ref="BC4:BP4"/>
    <mergeCell ref="BQ4:BY4"/>
    <mergeCell ref="CA4:CH4"/>
    <mergeCell ref="CM4:CR4"/>
  </mergeCells>
  <conditionalFormatting sqref="H6:AK6">
    <cfRule type="containsText" dxfId="6" priority="1">
      <formula>NOT(ISERROR(SEARCH("H",H6)))</formula>
    </cfRule>
    <cfRule type="containsText" dxfId="7" priority="2">
      <formula>NOT(ISERROR(SEARCH("L",H6)))</formula>
    </cfRule>
  </conditionalFormatting>
  <dataValidations count="2">
    <dataValidation type="list" allowBlank="1" sqref="AA6:AK6">
      <formula1>$B$16:$B$20</formula1>
    </dataValidation>
    <dataValidation type="list" allowBlank="1" sqref="H6:AK6">
      <formula1>$B$16:$B$20</formula1>
    </dataValidation>
  </dataValidations>
  <pageMargins left="0.7" right="0.7" top="0.75" bottom="0.75" header="0.3" footer="0.3"/>
  <pageSetup paperSize="8"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T23"/>
  <sheetViews>
    <sheetView workbookViewId="0" zoomScale="100">
      <pane xSplit="7" ySplit="5" topLeftCell="H6" activePane="bottomRight" state="frozen"/>
      <selection pane="bottomRight"/>
    </sheetView>
  </sheetViews>
  <sheetFormatPr defaultRowHeight="15" outlineLevelRow="0" outlineLevelCol="0" x14ac:dyDescent="55"/>
  <cols>
    <col min="1" max="1" width="3.43" customWidth="1"/>
    <col min="2" max="2" width="10.86" customWidth="1"/>
    <col min="3" max="3" width="12.43" customWidth="1"/>
    <col min="4" max="4" width="20.57" customWidth="1"/>
    <col min="5" max="5" width="3.57" hidden="1" customWidth="1"/>
    <col min="6" max="6" width="4.86" hidden="1" customWidth="1"/>
    <col min="7" max="7" width="4.43" hidden="1" customWidth="1"/>
    <col min="8" max="37" width="5.43" customWidth="1"/>
    <col min="38" max="38" width="7.14" customWidth="1"/>
    <col min="39" max="40" width="4.43" customWidth="1"/>
    <col min="41" max="41" width="6.71" customWidth="1"/>
    <col min="42" max="42" width="5.43" customWidth="1"/>
    <col min="43" max="43" width="6.57" customWidth="1"/>
    <col min="44" max="44" width="5" customWidth="1"/>
    <col min="45" max="45" width="7.14" customWidth="1"/>
    <col min="46" max="46" width="8" customWidth="1"/>
    <col min="47" max="47" width="6.71" customWidth="1"/>
    <col min="48" max="48" width="8.71" customWidth="1"/>
    <col min="49" max="49" width="6.71" customWidth="1"/>
    <col min="50" max="50" width="8.43" customWidth="1"/>
    <col min="51" max="51" width="5.29" customWidth="1"/>
    <col min="52" max="52" width="8" customWidth="1"/>
    <col min="53" max="53" width="9.29" customWidth="1"/>
    <col min="54" max="54" width="10" customWidth="1"/>
    <col min="55" max="56" width="8" customWidth="1"/>
    <col min="57" max="57" width="11.43" customWidth="1"/>
    <col min="58" max="58" width="7.43" hidden="1" customWidth="1"/>
    <col min="59" max="59" width="7.86" hidden="1" customWidth="1"/>
    <col min="60" max="60" width="7.14" hidden="1" customWidth="1"/>
    <col min="61" max="61" width="2" hidden="1" customWidth="1"/>
    <col min="62" max="62" width="0.71" hidden="1" customWidth="1"/>
    <col min="63" max="63" width="11.71" customWidth="1"/>
    <col min="64" max="64" width="11.57" customWidth="1"/>
    <col min="65" max="65" width="10.29" customWidth="1"/>
    <col min="66" max="67" width="10.86" customWidth="1"/>
    <col min="68" max="68" width="12" customWidth="1"/>
    <col min="69" max="69" width="6.14" customWidth="1"/>
    <col min="70" max="73" width="8" customWidth="1"/>
    <col min="74" max="74" width="8.57" customWidth="1"/>
    <col min="75" max="77" width="8" customWidth="1"/>
    <col min="78" max="78" width="12.71" customWidth="1"/>
    <col min="79" max="79" width="12.29" customWidth="1"/>
    <col min="80" max="80" width="11.14" customWidth="1"/>
    <col min="81" max="83" width="10.29" customWidth="1"/>
    <col min="84" max="84" width="10" customWidth="1"/>
    <col min="85" max="85" width="9.57" customWidth="1"/>
    <col min="86" max="86" width="10.86" customWidth="1"/>
    <col min="87" max="87" width="8" customWidth="1"/>
    <col min="88" max="88" width="0.71" customWidth="1"/>
    <col min="89" max="89" width="10.86" customWidth="1"/>
    <col min="90" max="90" width="9.43" customWidth="1"/>
    <col min="91" max="91" width="10.57" customWidth="1"/>
    <col min="92" max="92" width="13.14" customWidth="1"/>
    <col min="93" max="93" width="11.43" customWidth="1"/>
    <col min="94" max="94" width="10.14" customWidth="1"/>
    <col min="95" max="95" width="11.57" customWidth="1"/>
    <col min="96" max="96" width="12.43" customWidth="1"/>
    <col min="97" max="97" width="14.71" hidden="1" customWidth="1"/>
    <col min="98" max="98" width="0.86" customWidth="1"/>
  </cols>
  <sheetData>
    <row r="1" ht="18.75" customHeight="1" spans="1:98" x14ac:dyDescent="0.25">
      <c r="A1" s="1"/>
      <c r="B1" s="2" t="s">
        <v>0</v>
      </c>
      <c r="C1" s="2"/>
      <c r="D1" s="3"/>
      <c r="E1" s="2"/>
      <c r="F1" s="2"/>
      <c r="G1" s="2"/>
      <c r="H1" s="2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6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</row>
    <row r="2" ht="15.75" customHeight="1" spans="1:98" x14ac:dyDescent="0.25">
      <c r="A2" s="1"/>
      <c r="B2" s="7" t="s">
        <v>1</v>
      </c>
      <c r="C2" s="8" t="s">
        <v>2</v>
      </c>
      <c r="D2" s="8"/>
      <c r="E2" s="8"/>
      <c r="F2" s="8"/>
      <c r="G2" s="8"/>
      <c r="H2" s="9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6"/>
      <c r="BF2" s="6"/>
      <c r="BG2" s="6"/>
      <c r="BH2" s="6"/>
      <c r="BI2" s="6"/>
      <c r="BJ2" s="6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</row>
    <row r="3" ht="19.5" customHeight="1" spans="1:98" x14ac:dyDescent="0.25">
      <c r="A3" s="1"/>
      <c r="B3" s="7" t="s">
        <v>3</v>
      </c>
      <c r="C3" s="8" t="s">
        <v>4</v>
      </c>
      <c r="D3" s="8"/>
      <c r="E3" s="8"/>
      <c r="F3" s="8"/>
      <c r="G3" s="8"/>
      <c r="H3" s="9"/>
      <c r="I3" s="10" t="s">
        <v>5</v>
      </c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"/>
      <c r="AW3" s="1"/>
      <c r="AX3" s="1"/>
      <c r="AY3" s="1"/>
      <c r="AZ3" s="1"/>
      <c r="BA3" s="1"/>
      <c r="BB3" s="1"/>
      <c r="BC3" s="11" t="s">
        <v>5</v>
      </c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</row>
    <row r="4" ht="21.75" customHeight="1" spans="1:98" x14ac:dyDescent="0.25">
      <c r="A4" s="1"/>
      <c r="B4" s="7" t="s">
        <v>6</v>
      </c>
      <c r="C4" s="12">
        <v>46266</v>
      </c>
      <c r="D4" s="13" t="s">
        <v>7</v>
      </c>
      <c r="E4" s="14"/>
      <c r="F4" s="14" t="s">
        <v>8</v>
      </c>
      <c r="G4" s="14"/>
      <c r="H4" s="15">
        <v>30</v>
      </c>
      <c r="I4" s="1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7" t="s">
        <v>9</v>
      </c>
      <c r="AM4" s="17"/>
      <c r="AN4" s="17"/>
      <c r="AO4" s="17"/>
      <c r="AP4" s="17"/>
      <c r="AQ4" s="17"/>
      <c r="AR4" s="17"/>
      <c r="AS4" s="17"/>
      <c r="AT4" s="17"/>
      <c r="AU4" s="17"/>
      <c r="AV4" s="18" t="s">
        <v>10</v>
      </c>
      <c r="AW4" s="18"/>
      <c r="AX4" s="18"/>
      <c r="AY4" s="18"/>
      <c r="AZ4" s="18"/>
      <c r="BA4" s="18"/>
      <c r="BB4" s="18"/>
      <c r="BC4" s="19" t="s">
        <v>11</v>
      </c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20" t="s">
        <v>12</v>
      </c>
      <c r="BR4" s="20"/>
      <c r="BS4" s="20"/>
      <c r="BT4" s="20"/>
      <c r="BU4" s="20"/>
      <c r="BV4" s="20"/>
      <c r="BW4" s="20"/>
      <c r="BX4" s="20"/>
      <c r="BY4" s="20"/>
      <c r="BZ4" s="21"/>
      <c r="CA4" s="22" t="s">
        <v>13</v>
      </c>
      <c r="CB4" s="22"/>
      <c r="CC4" s="22"/>
      <c r="CD4" s="22"/>
      <c r="CE4" s="22"/>
      <c r="CF4" s="22"/>
      <c r="CG4" s="22"/>
      <c r="CH4" s="22"/>
      <c r="CI4" s="23" t="s">
        <v>14</v>
      </c>
      <c r="CJ4" s="23"/>
      <c r="CK4" s="23"/>
      <c r="CL4" s="23"/>
      <c r="CM4" s="24" t="s">
        <v>15</v>
      </c>
      <c r="CN4" s="24"/>
      <c r="CO4" s="24"/>
      <c r="CP4" s="24"/>
      <c r="CQ4" s="24"/>
      <c r="CR4" s="24"/>
      <c r="CS4" s="1"/>
      <c r="CT4" s="1"/>
    </row>
    <row r="5" ht="76.5" customHeight="1" spans="1:98" x14ac:dyDescent="0.25">
      <c r="A5" s="25" t="s">
        <v>16</v>
      </c>
      <c r="B5" s="26" t="s">
        <v>17</v>
      </c>
      <c r="C5" s="27" t="s">
        <v>18</v>
      </c>
      <c r="D5" s="28" t="s">
        <v>19</v>
      </c>
      <c r="E5" s="27" t="s">
        <v>20</v>
      </c>
      <c r="F5" s="27" t="s">
        <v>21</v>
      </c>
      <c r="G5" s="27" t="s">
        <v>22</v>
      </c>
      <c r="H5" s="29" t="s">
        <v>23</v>
      </c>
      <c r="I5" s="30" t="s">
        <v>24</v>
      </c>
      <c r="J5" s="31" t="s">
        <v>25</v>
      </c>
      <c r="K5" s="31" t="s">
        <v>26</v>
      </c>
      <c r="L5" s="31" t="s">
        <v>27</v>
      </c>
      <c r="M5" s="31" t="s">
        <v>28</v>
      </c>
      <c r="N5" s="31" t="s">
        <v>29</v>
      </c>
      <c r="O5" s="31" t="s">
        <v>30</v>
      </c>
      <c r="P5" s="31" t="s">
        <v>31</v>
      </c>
      <c r="Q5" s="31" t="s">
        <v>32</v>
      </c>
      <c r="R5" s="31" t="s">
        <v>33</v>
      </c>
      <c r="S5" s="31" t="s">
        <v>34</v>
      </c>
      <c r="T5" s="31" t="s">
        <v>35</v>
      </c>
      <c r="U5" s="31" t="s">
        <v>36</v>
      </c>
      <c r="V5" s="32" t="s">
        <v>37</v>
      </c>
      <c r="W5" s="31" t="s">
        <v>38</v>
      </c>
      <c r="X5" s="31" t="s">
        <v>39</v>
      </c>
      <c r="Y5" s="31" t="s">
        <v>40</v>
      </c>
      <c r="Z5" s="31" t="s">
        <v>41</v>
      </c>
      <c r="AA5" s="31" t="s">
        <v>42</v>
      </c>
      <c r="AB5" s="31" t="s">
        <v>43</v>
      </c>
      <c r="AC5" s="31" t="s">
        <v>44</v>
      </c>
      <c r="AD5" s="31" t="s">
        <v>45</v>
      </c>
      <c r="AE5" s="31" t="s">
        <v>46</v>
      </c>
      <c r="AF5" s="31" t="s">
        <v>47</v>
      </c>
      <c r="AG5" s="31" t="s">
        <v>48</v>
      </c>
      <c r="AH5" s="33" t="s">
        <v>49</v>
      </c>
      <c r="AI5" s="33" t="s">
        <v>50</v>
      </c>
      <c r="AJ5" s="33" t="s">
        <v>51</v>
      </c>
      <c r="AK5" s="33" t="s">
        <v>52</v>
      </c>
      <c r="AL5" s="34" t="s">
        <v>53</v>
      </c>
      <c r="AM5" s="35" t="s">
        <v>54</v>
      </c>
      <c r="AN5" s="35" t="s">
        <v>55</v>
      </c>
      <c r="AO5" s="35" t="s">
        <v>56</v>
      </c>
      <c r="AP5" s="35" t="s">
        <v>57</v>
      </c>
      <c r="AQ5" s="35" t="s">
        <v>58</v>
      </c>
      <c r="AR5" s="35" t="s">
        <v>59</v>
      </c>
      <c r="AS5" s="35" t="s">
        <v>60</v>
      </c>
      <c r="AT5" s="35" t="s">
        <v>61</v>
      </c>
      <c r="AU5" s="36" t="s">
        <v>62</v>
      </c>
      <c r="AV5" s="37" t="s">
        <v>63</v>
      </c>
      <c r="AW5" s="38" t="s">
        <v>64</v>
      </c>
      <c r="AX5" s="38" t="s">
        <v>65</v>
      </c>
      <c r="AY5" s="38" t="s">
        <v>66</v>
      </c>
      <c r="AZ5" s="38" t="s">
        <v>67</v>
      </c>
      <c r="BA5" s="38" t="s">
        <v>68</v>
      </c>
      <c r="BB5" s="39" t="s">
        <v>69</v>
      </c>
      <c r="BC5" s="40" t="s">
        <v>70</v>
      </c>
      <c r="BD5" s="41" t="s">
        <v>71</v>
      </c>
      <c r="BE5" s="42" t="s">
        <v>72</v>
      </c>
      <c r="BF5" s="42" t="s">
        <v>73</v>
      </c>
      <c r="BG5" s="42" t="s">
        <v>74</v>
      </c>
      <c r="BH5" s="42" t="s">
        <v>75</v>
      </c>
      <c r="BI5" s="42" t="s">
        <v>76</v>
      </c>
      <c r="BJ5" s="42" t="s">
        <v>77</v>
      </c>
      <c r="BK5" s="43" t="s">
        <v>78</v>
      </c>
      <c r="BL5" s="44" t="s">
        <v>79</v>
      </c>
      <c r="BM5" s="45" t="s">
        <v>80</v>
      </c>
      <c r="BN5" s="44" t="s">
        <v>81</v>
      </c>
      <c r="BO5" s="45" t="s">
        <v>82</v>
      </c>
      <c r="BP5" s="46" t="s">
        <v>83</v>
      </c>
      <c r="BQ5" s="47" t="s">
        <v>84</v>
      </c>
      <c r="BR5" s="48" t="s">
        <v>85</v>
      </c>
      <c r="BS5" s="49" t="s">
        <v>86</v>
      </c>
      <c r="BT5" s="49" t="s">
        <v>87</v>
      </c>
      <c r="BU5" s="49" t="s">
        <v>88</v>
      </c>
      <c r="BV5" s="49" t="s">
        <v>89</v>
      </c>
      <c r="BW5" s="49" t="s">
        <v>90</v>
      </c>
      <c r="BX5" s="49" t="s">
        <v>91</v>
      </c>
      <c r="BY5" s="48" t="s">
        <v>92</v>
      </c>
      <c r="BZ5" s="50" t="s">
        <v>93</v>
      </c>
      <c r="CA5" s="51" t="s">
        <v>94</v>
      </c>
      <c r="CB5" s="52" t="s">
        <v>95</v>
      </c>
      <c r="CC5" s="53" t="s">
        <v>96</v>
      </c>
      <c r="CD5" s="53" t="s">
        <v>97</v>
      </c>
      <c r="CE5" s="54" t="s">
        <v>98</v>
      </c>
      <c r="CF5" s="55" t="s">
        <v>99</v>
      </c>
      <c r="CG5" s="55" t="s">
        <v>100</v>
      </c>
      <c r="CH5" s="56" t="s">
        <v>101</v>
      </c>
      <c r="CI5" s="57" t="s">
        <v>102</v>
      </c>
      <c r="CJ5" s="57"/>
      <c r="CK5" s="58" t="s">
        <v>103</v>
      </c>
      <c r="CL5" s="58" t="s">
        <v>104</v>
      </c>
      <c r="CM5" s="59" t="s">
        <v>105</v>
      </c>
      <c r="CN5" s="60" t="s">
        <v>106</v>
      </c>
      <c r="CO5" s="26" t="s">
        <v>107</v>
      </c>
      <c r="CP5" s="60" t="s">
        <v>108</v>
      </c>
      <c r="CQ5" s="60" t="s">
        <v>109</v>
      </c>
      <c r="CR5" s="61" t="s">
        <v>110</v>
      </c>
      <c r="CS5" s="62" t="s">
        <v>111</v>
      </c>
      <c r="CT5" s="63" t="s">
        <v>112</v>
      </c>
    </row>
    <row r="6" ht="15.75" customHeight="1" spans="1:98" x14ac:dyDescent="0.25">
      <c r="A6" s="25">
        <v>7</v>
      </c>
      <c r="B6" s="64" t="s">
        <v>2</v>
      </c>
      <c r="C6" s="65" t="s">
        <v>154</v>
      </c>
      <c r="D6" s="66" t="s">
        <v>155</v>
      </c>
      <c r="E6" s="25"/>
      <c r="F6" s="67"/>
      <c r="G6" s="68"/>
      <c r="H6" s="69">
        <v>1</v>
      </c>
      <c r="I6" s="69" t="s">
        <v>115</v>
      </c>
      <c r="J6" s="69">
        <v>1</v>
      </c>
      <c r="K6" s="69">
        <v>1</v>
      </c>
      <c r="L6" s="69">
        <v>1</v>
      </c>
      <c r="M6" s="70" t="s">
        <v>116</v>
      </c>
      <c r="N6" s="69">
        <v>1</v>
      </c>
      <c r="O6" s="69">
        <v>1</v>
      </c>
      <c r="P6" s="69">
        <v>1</v>
      </c>
      <c r="Q6" s="69">
        <v>1</v>
      </c>
      <c r="R6" s="69">
        <v>1</v>
      </c>
      <c r="S6" s="69">
        <v>1</v>
      </c>
      <c r="T6" s="70" t="s">
        <v>116</v>
      </c>
      <c r="U6" s="69">
        <v>1</v>
      </c>
      <c r="V6" s="69">
        <v>1</v>
      </c>
      <c r="W6" s="69">
        <v>1</v>
      </c>
      <c r="X6" s="69">
        <v>1</v>
      </c>
      <c r="Y6" s="69">
        <v>1</v>
      </c>
      <c r="Z6" s="69">
        <v>1</v>
      </c>
      <c r="AA6" s="70" t="s">
        <v>116</v>
      </c>
      <c r="AB6" s="69">
        <v>1</v>
      </c>
      <c r="AC6" s="69">
        <v>1</v>
      </c>
      <c r="AD6" s="69">
        <v>1</v>
      </c>
      <c r="AE6" s="69">
        <v>1</v>
      </c>
      <c r="AF6" s="69">
        <v>1</v>
      </c>
      <c r="AG6" s="69">
        <v>1</v>
      </c>
      <c r="AH6" s="70" t="s">
        <v>116</v>
      </c>
      <c r="AI6" s="69">
        <v>1</v>
      </c>
      <c r="AJ6" s="69">
        <v>1</v>
      </c>
      <c r="AK6" s="69">
        <v>1</v>
      </c>
      <c r="AL6" s="71">
        <f>SUM(H6:AK6)</f>
        <v>25</v>
      </c>
      <c r="AM6" s="72">
        <f>COUNTIF(H6:AK6,$B$19)</f>
        <v>4</v>
      </c>
      <c r="AN6" s="72">
        <f>COUNTIF(H6:AK6,$B$20)</f>
        <v>1</v>
      </c>
      <c r="AO6" s="73">
        <f>(H$4)-AL6-AM6-AN6</f>
        <v>0</v>
      </c>
      <c r="AP6" s="74">
        <v>1</v>
      </c>
      <c r="AQ6" s="75">
        <v>1</v>
      </c>
      <c r="AR6" s="76">
        <f>AP6+AQ6</f>
        <v>2</v>
      </c>
      <c r="AS6" s="76">
        <f>AR6-AO6</f>
        <v>2</v>
      </c>
      <c r="AT6" s="77">
        <v>30</v>
      </c>
      <c r="AU6" s="78">
        <f>(H$4)-AT6</f>
        <v>0</v>
      </c>
      <c r="AV6" s="79"/>
      <c r="AW6" s="80"/>
      <c r="AX6" s="81"/>
      <c r="AY6" s="82"/>
      <c r="AZ6" s="82"/>
      <c r="BA6" s="83"/>
      <c r="BB6" s="83"/>
      <c r="BC6" s="84" t="s">
        <v>118</v>
      </c>
      <c r="BD6" s="85"/>
      <c r="BE6" s="86">
        <v>15000</v>
      </c>
      <c r="BF6" s="87"/>
      <c r="BG6" s="87"/>
      <c r="BH6" s="87"/>
      <c r="BI6" s="87"/>
      <c r="BJ6" s="87"/>
      <c r="BK6" s="85">
        <f>IF(BE6&gt;BL6,BE6-BL6,0)</f>
      </c>
      <c r="BL6" s="88"/>
      <c r="BM6" s="85"/>
      <c r="BN6" s="89">
        <f>BA6+BB6</f>
      </c>
      <c r="BO6" s="90"/>
      <c r="BP6" s="91">
        <v>15000</v>
      </c>
      <c r="BQ6" s="92" t="s">
        <v>119</v>
      </c>
      <c r="BR6" s="93" t="s">
        <v>119</v>
      </c>
      <c r="BS6" s="94" t="s">
        <v>119</v>
      </c>
      <c r="BT6" s="95"/>
      <c r="BU6" s="95">
        <f>AT6</f>
      </c>
      <c r="BV6" s="96"/>
      <c r="BW6" s="96"/>
      <c r="BX6" s="97">
        <f>BV6</f>
      </c>
      <c r="BY6" s="97">
        <f>BW6</f>
      </c>
      <c r="BZ6" s="98">
        <f>BP6-BX6-BY6</f>
      </c>
      <c r="CA6" s="99"/>
      <c r="CB6" s="99"/>
      <c r="CC6" s="94"/>
      <c r="CD6" s="94"/>
      <c r="CE6" s="94"/>
      <c r="CF6" s="94"/>
      <c r="CG6" s="94"/>
      <c r="CH6" s="100"/>
      <c r="CI6" s="94"/>
      <c r="CJ6" s="101"/>
      <c r="CK6" s="102"/>
      <c r="CL6" s="94"/>
      <c r="CM6" s="103">
        <v>0</v>
      </c>
      <c r="CN6" s="104">
        <f>BP6-CM6</f>
      </c>
      <c r="CO6" s="94"/>
      <c r="CP6" s="94"/>
      <c r="CQ6" s="94">
        <f>CN6-CO6</f>
      </c>
      <c r="CR6" s="105">
        <v>15000</v>
      </c>
      <c r="CS6" s="106"/>
      <c r="CT6" s="107">
        <f>$H$4</f>
      </c>
    </row>
    <row r="11" spans="2:2" x14ac:dyDescent="0.25">
      <c r="B11" s="108" t="s">
        <v>126</v>
      </c>
    </row>
    <row r="12" spans="4:4" x14ac:dyDescent="0.25">
      <c r="D12" t="s">
        <v>127</v>
      </c>
    </row>
    <row r="13" spans="4:4" x14ac:dyDescent="0.25">
      <c r="D13" t="s">
        <v>128</v>
      </c>
    </row>
    <row r="14" spans="4:4" x14ac:dyDescent="0.25">
      <c r="D14" t="s">
        <v>129</v>
      </c>
    </row>
    <row r="15" spans="4:4" x14ac:dyDescent="0.25">
      <c r="D15" t="s">
        <v>130</v>
      </c>
    </row>
    <row r="16" spans="2:4" x14ac:dyDescent="0.25">
      <c r="B16" s="108">
        <v>1</v>
      </c>
      <c r="D16" t="s">
        <v>131</v>
      </c>
    </row>
    <row r="17" spans="2:4" x14ac:dyDescent="0.25">
      <c r="B17" s="108">
        <v>0.5</v>
      </c>
      <c r="D17" t="s">
        <v>132</v>
      </c>
    </row>
    <row r="18" spans="2:4" x14ac:dyDescent="0.25">
      <c r="B18" s="108" t="s">
        <v>117</v>
      </c>
      <c r="D18" t="s">
        <v>133</v>
      </c>
    </row>
    <row r="19" spans="2:4" x14ac:dyDescent="0.25">
      <c r="B19" s="108" t="s">
        <v>116</v>
      </c>
      <c r="D19" t="s">
        <v>134</v>
      </c>
    </row>
    <row r="20" spans="2:4" x14ac:dyDescent="0.25">
      <c r="B20" s="108" t="s">
        <v>115</v>
      </c>
      <c r="D20" t="s">
        <v>135</v>
      </c>
    </row>
    <row r="21" spans="4:4" x14ac:dyDescent="0.25">
      <c r="D21" t="s">
        <v>136</v>
      </c>
    </row>
    <row r="22" spans="4:4" x14ac:dyDescent="0.25">
      <c r="D22" t="s">
        <v>137</v>
      </c>
    </row>
    <row r="23" spans="4:4" x14ac:dyDescent="0.25">
      <c r="D23" t="s">
        <v>138</v>
      </c>
    </row>
  </sheetData>
  <mergeCells count="8">
    <mergeCell ref="I3:AU3"/>
    <mergeCell ref="BC3:BZ3"/>
    <mergeCell ref="AL4:AU4"/>
    <mergeCell ref="AV4:BB4"/>
    <mergeCell ref="BC4:BP4"/>
    <mergeCell ref="BQ4:BY4"/>
    <mergeCell ref="CA4:CH4"/>
    <mergeCell ref="CM4:CR4"/>
  </mergeCells>
  <conditionalFormatting sqref="H6:AK6">
    <cfRule type="containsText" dxfId="8" priority="1">
      <formula>NOT(ISERROR(SEARCH("H",H6)))</formula>
    </cfRule>
    <cfRule type="containsText" dxfId="9" priority="2">
      <formula>NOT(ISERROR(SEARCH("L",H6)))</formula>
    </cfRule>
  </conditionalFormatting>
  <dataValidations count="2">
    <dataValidation type="list" allowBlank="1" sqref="AA6:AK6">
      <formula1>$B$16:$B$20</formula1>
    </dataValidation>
    <dataValidation type="list" allowBlank="1" sqref="H6:AK6">
      <formula1>$B$16:$B$20</formula1>
    </dataValidation>
  </dataValidations>
  <pageMargins left="0.7" right="0.7" top="0.75" bottom="0.75" header="0.3" footer="0.3"/>
  <pageSetup paperSize="8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MRPPL Salary-1</vt:lpstr>
      <vt:lpstr>MRPPL Cash-1</vt:lpstr>
      <vt:lpstr>MRPPL Diff Cash</vt:lpstr>
      <vt:lpstr>Soorya Rubbers</vt:lpstr>
      <vt:lpstr>Labour supply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Manna HR</dc:creator>
  <dc:title/>
  <dc:subject/>
  <dc:description/>
  <cp:keywords/>
  <cp:category/>
  <cp:lastModifiedBy>Unknown</cp:lastModifiedBy>
  <dcterms:created xsi:type="dcterms:W3CDTF">2026-10-09T08:07:36Z</dcterms:created>
  <dcterms:modified xsi:type="dcterms:W3CDTF">2026-10-09T08:07:36Z</dcterms:modified>
</cp:coreProperties>
</file>